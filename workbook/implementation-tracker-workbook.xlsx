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worksheets/sheet6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7.xml" ContentType="application/vnd.openxmlformats-officedocument.spreadsheetml.worksheet+xml"/>
  <Override PartName="/xl/tables/table13.xml" ContentType="application/vnd.openxmlformats-officedocument.spreadsheetml.table+xml"/>
  <Override PartName="/xl/worksheets/sheet8.xml" ContentType="application/vnd.openxmlformats-officedocument.spreadsheetml.worksheet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9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sheets/sheet10.xml" ContentType="application/vnd.openxmlformats-officedocument.spreadsheetml.worksheet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worksheets/sheet11.xml" ContentType="application/vnd.openxmlformats-officedocument.spreadsheetml.worksheet+xml"/>
  <Override PartName="/xl/tables/table20.xml" ContentType="application/vnd.openxmlformats-officedocument.spreadsheetml.table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Lookups" sheetId="2" state="visible" r:id="rId2"/>
    <sheet name="Projects" sheetId="3" state="visible" r:id="rId3"/>
    <sheet name="Phases and Gates" sheetId="4" state="visible" r:id="rId4"/>
    <sheet name="Tasks" sheetId="5" state="visible" r:id="rId5"/>
    <sheet name="Requests and Handoffs" sheetId="6" state="visible" r:id="rId6"/>
    <sheet name="Escalation Rules" sheetId="7" state="visible" r:id="rId7"/>
    <sheet name="Risks and Issues" sheetId="8" state="visible" r:id="rId8"/>
    <sheet name="Readiness Scorecard" sheetId="9" state="visible" r:id="rId9"/>
    <sheet name="Capacity Inputs" sheetId="10" state="visible" r:id="rId10"/>
    <sheet name="Event Log" sheetId="11" state="visible" r:id="rId11"/>
    <sheet name="KPI Summary" sheetId="12" state="visible" r:id="rId12"/>
  </sheets>
  <definedNames>
    <definedName name="calculation_as_of_at">'README'!$D$10</definedName>
    <definedName name="event_reconciliation_from_at">'README'!$D$11</definedName>
    <definedName name="selected_org_stage">'README'!$D$12</definedName>
    <definedName name="operating_mode">'README'!$D$13</definedName>
    <definedName name="lst_phase_key">'Lookups'!$C$5:$C$14</definedName>
    <definedName name="lst_phase_status">'Lookups'!$C$15:$C$19</definedName>
    <definedName name="lst_gate_outcome">'Lookups'!$C$20:$C$22</definedName>
    <definedName name="lst_gate_id">'Lookups'!$C$23:$C$31</definedName>
    <definedName name="lst_project_status">'Lookups'!$C$32:$C$35</definedName>
    <definedName name="lst_org_stage">'Lookups'!$C$36:$C$39</definedName>
    <definedName name="lst_milestone_status">'Lookups'!$C$40:$C$42</definedName>
    <definedName name="lst_task_status">'Lookups'!$C$43:$C$47</definedName>
    <definedName name="lst_request_status">'Lookups'!$C$48:$C$56</definedName>
    <definedName name="lst_request_transition">'Lookups'!$C$57:$C$72</definedName>
    <definedName name="lst_request_type">'Lookups'!$C$73:$C$79</definedName>
    <definedName name="lst_request_priority">'Lookups'!$C$80:$C$83</definedName>
    <definedName name="lst_request_source">'Lookups'!$C$84:$C$86</definedName>
    <definedName name="lst_handoff_status">'Lookups'!$C$87:$C$89</definedName>
    <definedName name="lst_handoff_type">'Lookups'!$C$90:$C$93</definedName>
    <definedName name="lst_risk_status">'Lookups'!$C$94:$C$97</definedName>
    <definedName name="lst_issue_status">'Lookups'!$C$98:$C$101</definedName>
    <definedName name="lst_severity">'Lookups'!$C$102:$C$105</definedName>
    <definedName name="lst_readiness_category">'Lookups'!$C$106:$C$111</definedName>
    <definedName name="lst_assessment_purpose">'Lookups'!$C$112:$C$113</definedName>
    <definedName name="lst_actor_type">'Lookups'!$C$114:$C$116</definedName>
    <definedName name="lst_event_type">'Lookups'!$C$117:$C$134</definedName>
    <definedName name="lst_role_id">'Lookups'!$C$135:$C$142</definedName>
    <definedName name="lst_profile_id">'Lookups'!$C$143:$C$146</definedName>
    <definedName name="lst_rule_id">'Lookups'!$C$147:$C$160</definedName>
    <definedName name="lst_operating_mode">'Lookups'!$C$161:$C$162</definedName>
    <definedName name="lst_source_entity_type">'Lookups'!$C$163:$C$166</definedName>
    <definedName name="lst_workload_type">'Lookups'!$C$167:$C$170</definedName>
    <definedName name="lst_capacity_inclusion_method">'Lookups'!$C$171:$C$173</definedName>
    <definedName name="risk_likelihood_min">'Lookups'!$V$5</definedName>
    <definedName name="risk_likelihood_max">'Lookups'!$V$6</definedName>
    <definedName name="risk_impact_min">'Lookups'!$V$7</definedName>
    <definedName name="risk_impact_max">'Lookups'!$V$8</definedName>
    <definedName name="readiness_total_weight">'Lookups'!$V$9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404040"/>
      <sz val="10"/>
    </font>
    <font>
      <name val="Arial"/>
      <b val="1"/>
      <color rgb="00C00000"/>
      <sz val="11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sz val="10"/>
    </font>
    <font>
      <name val="Arial"/>
      <color rgb="0040404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75623"/>
      </patternFill>
    </fill>
    <fill>
      <patternFill patternType="solid">
        <fgColor rgb="00EEF3E8"/>
      </patternFill>
    </fill>
    <fill>
      <patternFill patternType="solid">
        <fgColor rgb="00595959"/>
      </patternFill>
    </fill>
    <fill>
      <patternFill patternType="solid">
        <fgColor rgb="00EDEDE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6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49" fontId="6" fillId="0" borderId="0" pivotButton="0" quotePrefix="0" xfId="0"/>
    <xf numFmtId="0" fontId="6" fillId="0" borderId="0" pivotButton="0" quotePrefix="0" xfId="0"/>
    <xf numFmtId="49" fontId="6" fillId="7" borderId="0" applyProtection="1" pivotButton="0" quotePrefix="0" xfId="0">
      <protection locked="0" hidden="0"/>
    </xf>
    <xf numFmtId="0" fontId="2" fillId="0" borderId="0" pivotButton="0" quotePrefix="0" xfId="0"/>
    <xf numFmtId="0" fontId="5" fillId="3" borderId="0" applyAlignment="1" pivotButton="0" quotePrefix="0" xfId="0">
      <alignment vertical="center" wrapText="1"/>
    </xf>
    <xf numFmtId="0" fontId="6" fillId="4" borderId="0" pivotButton="0" quotePrefix="0" xfId="0"/>
    <xf numFmtId="49" fontId="6" fillId="4" borderId="0" pivotButton="0" quotePrefix="0" xfId="0"/>
    <xf numFmtId="0" fontId="5" fillId="5" borderId="0" applyAlignment="1" pivotButton="0" quotePrefix="0" xfId="0">
      <alignment vertical="center" wrapText="1"/>
    </xf>
    <xf numFmtId="0" fontId="7" fillId="6" borderId="0" pivotButton="0" quotePrefix="0" xfId="0"/>
    <xf numFmtId="0" fontId="3" fillId="0" borderId="0" pivotButton="0" quotePrefix="0" xfId="0"/>
    <xf numFmtId="164" fontId="7" fillId="6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Projects by Current Phase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'KPI Summary'!J4</f>
            </strRef>
          </tx>
          <spPr>
            <a:ln>
              <a:prstDash val="solid"/>
            </a:ln>
          </spPr>
          <cat>
            <numRef>
              <f>'KPI Summary'!$I$5:$I$14</f>
            </numRef>
          </cat>
          <val>
            <numRef>
              <f>'KPI Summary'!$J$5:$J$14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Projects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WorkbookSettings" displayName="tblWorkbookSettings" ref="C4:F14" headerRowCount="1">
  <tableColumns count="4">
    <tableColumn id="1" name="setting_key"/>
    <tableColumn id="2" name="value"/>
    <tableColumn id="3" name="editable"/>
    <tableColumn id="4" name="description"/>
  </tableColumns>
  <tableStyleInfo name="TableStyleLight1" showRowStripes="0" showColumnStripes="0"/>
</table>
</file>

<file path=xl/tables/table2.xml><?xml version="1.0" encoding="utf-8"?>
<table xmlns="http://schemas.openxmlformats.org/spreadsheetml/2006/main" id="2" name="tblLookupEntries" displayName="tblLookupEntries" ref="A4:H173" headerRowCount="1">
  <tableColumns count="8">
    <tableColumn id="1" name="lookup_entry_id"/>
    <tableColumn id="2" name="lookup_type"/>
    <tableColumn id="3" name="key"/>
    <tableColumn id="4" name="display_value"/>
    <tableColumn id="5" name="source_repo"/>
    <tableColumn id="6" name="source_path"/>
    <tableColumn id="7" name="source_version"/>
    <tableColumn id="8" name="active_flag"/>
  </tableColumns>
  <tableStyleInfo name="TableStyleLight1" showRowStripes="0" showColumnStripes="0"/>
</table>
</file>

<file path=xl/tables/table3.xml><?xml version="1.0" encoding="utf-8"?>
<table xmlns="http://schemas.openxmlformats.org/spreadsheetml/2006/main" id="3" name="tblReadinessWeights" displayName="tblReadinessWeights" ref="J4:M10" headerRowCount="1">
  <tableColumns count="4">
    <tableColumn id="1" name="category"/>
    <tableColumn id="2" name="weight"/>
    <tableColumn id="3" name="required_evidence"/>
    <tableColumn id="4" name="source_path"/>
  </tableColumns>
  <tableStyleInfo name="TableStyleLight1" showRowStripes="0" showColumnStripes="0"/>
</table>
</file>

<file path=xl/tables/table4.xml><?xml version="1.0" encoding="utf-8"?>
<table xmlns="http://schemas.openxmlformats.org/spreadsheetml/2006/main" id="4" name="tblRiskBands" displayName="tblRiskBands" ref="O4:S8" headerRowCount="1">
  <tableColumns count="5">
    <tableColumn id="1" name="band"/>
    <tableColumn id="2" name="min_score"/>
    <tableColumn id="3" name="max_score"/>
    <tableColumn id="4" name="severity"/>
    <tableColumn id="5" name="source_path"/>
  </tableColumns>
  <tableStyleInfo name="TableStyleLight1" showRowStripes="0" showColumnStripes="0"/>
</table>
</file>

<file path=xl/tables/table5.xml><?xml version="1.0" encoding="utf-8"?>
<table xmlns="http://schemas.openxmlformats.org/spreadsheetml/2006/main" id="5" name="tblRuleParameters" displayName="tblRuleParameters" ref="U4:W10" headerRowCount="1">
  <tableColumns count="3">
    <tableColumn id="1" name="parameter"/>
    <tableColumn id="2" name="value"/>
    <tableColumn id="3" name="source_path"/>
  </tableColumns>
  <tableStyleInfo name="TableStyleLight1" showRowStripes="0" showColumnStripes="0"/>
</table>
</file>

<file path=xl/tables/table6.xml><?xml version="1.0" encoding="utf-8"?>
<table xmlns="http://schemas.openxmlformats.org/spreadsheetml/2006/main" id="6" name="tblProjects" displayName="tblProjects" ref="A4:T7" headerRowCount="1">
  <tableColumns count="20">
    <tableColumn id="1" name="project_id"/>
    <tableColumn id="2" name="name"/>
    <tableColumn id="3" name="customer_reference"/>
    <tableColumn id="4" name="customer_label"/>
    <tableColumn id="5" name="current_phase_id"/>
    <tableColumn id="6" name="project_status"/>
    <tableColumn id="7" name="org_stage"/>
    <tableColumn id="8" name="complexity_profile_id"/>
    <tableColumn id="9" name="service_profile_id"/>
    <tableColumn id="10" name="segment_profile_id"/>
    <tableColumn id="11" name="project_owner_role_id"/>
    <tableColumn id="12" name="target_launch_date"/>
    <tableColumn id="13" name="actual_launch_date"/>
    <tableColumn id="14" name="external_reference"/>
    <tableColumn id="15" name="created_at"/>
    <tableColumn id="16" name="updated_at"/>
    <tableColumn id="17" name="schema_version"/>
    <tableColumn id="18" name="current_phase_key">
      <calculatedColumnFormula>IF(tblProjects[[#This Row],[project_id]]="","",IFERROR(INDEX(tblPhases[lifecycle_phase_key],MATCH(tblProjects[[#This Row],[current_phase_id]],tblPhases[phase_id],0))&amp;"","phase_not_found"))</calculatedColumnFormula>
    </tableColumn>
    <tableColumn id="19" name="reference_check">
      <calculatedColumnFormula>IF(tblProjects[[#This Row],[project_id]]="","",IF(COUNTIFS(tblPhases[phase_id],tblProjects[[#This Row],[current_phase_id]],tblPhases[project_id],tblProjects[[#This Row],[project_id]])=0,"orphan_current_phase",IF(COUNTIFS(tblLookupEntries[lookup_type],"profile_id",tblLookupEntries[key],tblProjects[[#This Row],[complexity_profile_id]])+COUNTIFS(tblLookupEntries[lookup_type],"profile_id",tblLookupEntries[key],tblProjects[[#This Row],[service_profile_id]])+COUNTIFS(tblLookupEntries[lookup_type],"profile_id",tblLookupEntries[key],tblProjects[[#This Row],[segment_profile_id]])&lt;3,"orphan_profile","valid")))</calculatedColumnFormula>
    </tableColumn>
    <tableColumn id="20" name="event_evidence">
      <calculatedColumnFormula>IF(tblProjects[[#This Row],[project_id]]="","",IF(AND(TRUE,tblProjects[[#This Row],[created_at]]&gt;=event_reconciliation_from_at,COUNTIFS(tblEventLog[subject_id],tblProjects[[#This Row],[project_id]],tblEventLog[event_type],"project.created")=0),"missing:project.created",IF(OR(AND(TRUE,tblProjects[[#This Row],[created_at]]&gt;=event_reconciliation_from_at)),"logged","before_window")))</calculatedColumnFormula>
    </tableColumn>
  </tableColumns>
  <tableStyleInfo name="TableStyleLight1" showRowStripes="0" showColumnStripes="0"/>
</table>
</file>

<file path=xl/tables/table7.xml><?xml version="1.0" encoding="utf-8"?>
<table xmlns="http://schemas.openxmlformats.org/spreadsheetml/2006/main" id="7" name="tblPhases" displayName="tblPhases" ref="A4:L19" headerRowCount="1">
  <tableColumns count="12">
    <tableColumn id="1" name="phase_id"/>
    <tableColumn id="2" name="project_id"/>
    <tableColumn id="3" name="lifecycle_phase_key"/>
    <tableColumn id="4" name="status"/>
    <tableColumn id="5" name="entered_at"/>
    <tableColumn id="6" name="exited_at"/>
    <tableColumn id="7" name="owner_role_id"/>
    <tableColumn id="8" name="gate_id"/>
    <tableColumn id="9" name="schema_version"/>
    <tableColumn id="10" name="reference_check">
      <calculatedColumnFormula>IF(tblPhases[[#This Row],[phase_id]]="","",IF(COUNTIF(tblProjects[project_id],tblPhases[[#This Row],[project_id]])=0,"orphan_project","valid"))</calculatedColumnFormula>
    </tableColumn>
    <tableColumn id="11" name="gate_check">
      <calculatedColumnFormula>IF(tblPhases[[#This Row],[phase_id]]="","",IF(COUNTIFS(tblLookupEntries[lookup_type],"gate_id",tblLookupEntries[display_value],tblPhases[[#This Row],[lifecycle_phase_key]])=0,IF(tblPhases[[#This Row],[gate_id]]="","valid","unexpected_gate"),IF(COUNTIFS(tblLookupEntries[lookup_type],"gate_id",tblLookupEntries[key],tblPhases[[#This Row],[gate_id]],tblLookupEntries[display_value],tblPhases[[#This Row],[lifecycle_phase_key]])&gt;0,"valid","gate_mismatch")))</calculatedColumnFormula>
    </tableColumn>
    <tableColumn id="12" name="event_evidence">
      <calculatedColumnFormula>IF(tblPhases[[#This Row],[phase_id]]="","",IF(AND(tblPhases[[#This Row],[entered_at]]&lt;&gt;"",tblPhases[[#This Row],[entered_at]]&gt;=event_reconciliation_from_at,COUNTIFS(tblEventLog[subject_id],tblPhases[[#This Row],[phase_id]],tblEventLog[event_type],"phase.entered")=0),"missing:phase.entered",IF(AND(tblPhases[[#This Row],[exited_at]]&lt;&gt;"",tblPhases[[#This Row],[exited_at]]&gt;=event_reconciliation_from_at,COUNTIFS(tblEventLog[subject_id],tblPhases[[#This Row],[phase_id]],tblEventLog[event_type],"phase.exited")=0),"missing:phase.exited",IF(OR(AND(tblPhases[[#This Row],[entered_at]]&lt;&gt;"",tblPhases[[#This Row],[entered_at]]&gt;=event_reconciliation_from_at),AND(tblPhases[[#This Row],[exited_at]]&lt;&gt;"",tblPhases[[#This Row],[exited_at]]&gt;=event_reconciliation_from_at)),"logged","before_window"))))</calculatedColumnFormula>
    </tableColumn>
  </tableColumns>
  <tableStyleInfo name="TableStyleLight1" showRowStripes="0" showColumnStripes="0"/>
</table>
</file>

<file path=xl/tables/table8.xml><?xml version="1.0" encoding="utf-8"?>
<table xmlns="http://schemas.openxmlformats.org/spreadsheetml/2006/main" id="8" name="tblMilestones" displayName="tblMilestones" ref="N4:Y16" headerRowCount="1">
  <tableColumns count="12">
    <tableColumn id="1" name="milestone_id"/>
    <tableColumn id="2" name="project_id"/>
    <tableColumn id="3" name="phase_id"/>
    <tableColumn id="4" name="name"/>
    <tableColumn id="5" name="status"/>
    <tableColumn id="6" name="target_date"/>
    <tableColumn id="7" name="completed_date"/>
    <tableColumn id="8" name="critical_flag"/>
    <tableColumn id="9" name="owner_role_id"/>
    <tableColumn id="10" name="schema_version"/>
    <tableColumn id="11" name="reference_check">
      <calculatedColumnFormula>IF(tblMilestones[[#This Row],[milestone_id]]="","",IF(COUNTIF(tblProjects[project_id],tblMilestones[[#This Row],[project_id]])=0,"orphan_project",IF(COUNTIFS(tblPhases[phase_id],tblMilestones[[#This Row],[phase_id]],tblPhases[project_id],tblMilestones[[#This Row],[project_id]])=0,"orphan_phase","valid")))</calculatedColumnFormula>
    </tableColumn>
    <tableColumn id="12" name="event_evidence">
      <calculatedColumnFormula>IF(tblMilestones[[#This Row],[milestone_id]]="","",IF(AND(tblMilestones[[#This Row],[status]]="achieved",tblMilestones[[#This Row],[completed_date]]&amp;"T23:59:59Z"&gt;=event_reconciliation_from_at,COUNTIFS(tblEventLog[subject_id],tblMilestones[[#This Row],[milestone_id]],tblEventLog[event_type],"milestone.achieved")=0),"missing:milestone.achieved",IF(AND(tblMilestones[[#This Row],[status]]="missed",tblMilestones[[#This Row],[target_date]]&amp;"T23:59:59Z"&gt;=event_reconciliation_from_at,COUNTIFS(tblEventLog[subject_id],tblMilestones[[#This Row],[milestone_id]],tblEventLog[event_type],"milestone.missed")=0),"missing:milestone.missed",IF(OR(AND(tblMilestones[[#This Row],[status]]="achieved",tblMilestones[[#This Row],[completed_date]]&amp;"T23:59:59Z"&gt;=event_reconciliation_from_at),AND(tblMilestones[[#This Row],[status]]="missed",tblMilestones[[#This Row],[target_date]]&amp;"T23:59:59Z"&gt;=event_reconciliation_from_at)),"logged","not_required_or_before_window"))))</calculatedColumnFormula>
    </tableColumn>
  </tableColumns>
  <tableStyleInfo name="TableStyleLight1" showRowStripes="0" showColumnStripes="0"/>
</table>
</file>

<file path=xl/tables/table9.xml><?xml version="1.0" encoding="utf-8"?>
<table xmlns="http://schemas.openxmlformats.org/spreadsheetml/2006/main" id="9" name="tblGateAssessments" displayName="tblGateAssessments" ref="AA4:AP5" headerRowCount="1">
  <tableColumns count="16">
    <tableColumn id="1" name="gate_assessment_id"/>
    <tableColumn id="2" name="gate_id"/>
    <tableColumn id="3" name="project_id"/>
    <tableColumn id="4" name="phase_id"/>
    <tableColumn id="5" name="outcome"/>
    <tableColumn id="6" name="assessed_at"/>
    <tableColumn id="7" name="assessor_person_id"/>
    <tableColumn id="8" name="evidence_types_provided"/>
    <tableColumn id="9" name="evidence_refs"/>
    <tableColumn id="10" name="condition_refs"/>
    <tableColumn id="11" name="reason"/>
    <tableColumn id="12" name="schema_version"/>
    <tableColumn id="13" name="outcome_check">
      <calculatedColumnFormula>IF(tblGateAssessments[[#This Row],[gate_assessment_id]]="","",IF(COUNTIFS(tblLookupEntries[lookup_type],"gate_outcome",tblLookupEntries[key],tblGateAssessments[[#This Row],[outcome]])&gt;0,"valid","invalid_outcome"))</calculatedColumnFormula>
    </tableColumn>
    <tableColumn id="14" name="assessor_check">
      <calculatedColumnFormula>IF(tblGateAssessments[[#This Row],[gate_assessment_id]]="","",IF(LEFT(tblGateAssessments[[#This Row],[assessor_person_id]],4)="PER-","named_person","not_a_person"))</calculatedColumnFormula>
    </tableColumn>
    <tableColumn id="15" name="reference_check">
      <calculatedColumnFormula>IF(tblGateAssessments[[#This Row],[gate_assessment_id]]="","",IF(COUNTIFS(tblPhases[phase_id],tblGateAssessments[[#This Row],[phase_id]],tblPhases[project_id],tblGateAssessments[[#This Row],[project_id]])=0,"orphan_phase",IF(COUNTIFS(tblLookupEntries[lookup_type],"gate_id",tblLookupEntries[key],tblGateAssessments[[#This Row],[gate_id]],tblLookupEntries[display_value],INDEX(tblPhases[lifecycle_phase_key],MATCH(tblGateAssessments[[#This Row],[phase_id]],tblPhases[phase_id],0)))=0,"gate_phase_mismatch","valid")))</calculatedColumnFormula>
    </tableColumn>
    <tableColumn id="16" name="event_evidence">
      <calculatedColumnFormula>IF(tblGateAssessments[[#This Row],[gate_assessment_id]]="","",IF(AND(TRUE,tblGateAssessments[[#This Row],[assessed_at]]&gt;=event_reconciliation_from_at,COUNTIFS(tblEventLog[subject_id],tblGateAssessments[[#This Row],[gate_assessment_id]],tblEventLog[event_type],"gate.assessed")=0),"missing:gate.assessed",IF(OR(AND(TRUE,tblGateAssessments[[#This Row],[assessed_at]]&gt;=event_reconciliation_from_at)),"logged","before_window")))</calculatedColumnFormula>
    </tableColumn>
  </tableColumns>
  <tableStyleInfo name="TableStyleLight1" showRowStripes="0" showColumnStripes="0"/>
</table>
</file>

<file path=xl/tables/table10.xml><?xml version="1.0" encoding="utf-8"?>
<table xmlns="http://schemas.openxmlformats.org/spreadsheetml/2006/main" id="10" name="tblTasks" displayName="tblTasks" ref="A4:S34" headerRowCount="1">
  <tableColumns count="19">
    <tableColumn id="1" name="task_id"/>
    <tableColumn id="2" name="project_id"/>
    <tableColumn id="3" name="phase_id"/>
    <tableColumn id="4" name="milestone_id"/>
    <tableColumn id="5" name="name"/>
    <tableColumn id="6" name="status"/>
    <tableColumn id="7" name="owner_role_id"/>
    <tableColumn id="8" name="planned_hours"/>
    <tableColumn id="9" name="actual_hours"/>
    <tableColumn id="10" name="predecessor_task_ids"/>
    <tableColumn id="11" name="planned_start_date"/>
    <tableColumn id="12" name="planned_due_date"/>
    <tableColumn id="13" name="completed_at"/>
    <tableColumn id="14" name="critical_flag"/>
    <tableColumn id="15" name="schema_version"/>
    <tableColumn id="16" name="due_state">
      <calculatedColumnFormula>IF(tblTasks[[#This Row],[task_id]]="","",IF(tblTasks[[#This Row],[planned_due_date]]="","no_due_date",IF(tblTasks[[#This Row],[status]]="cancelled","cancelled",IF(tblTasks[[#This Row],[status]]="completed",IF(LEFT(tblTasks[[#This Row],[completed_at]],10)&lt;=tblTasks[[#This Row],[planned_due_date]],"completed_on_time","completed_late"),IF(tblTasks[[#This Row],[status]]="blocked","blocked",IF(tblTasks[[#This Row],[planned_due_date]]&lt;LEFT(calculation_as_of_at,10),"overdue","open_not_due"))))))</calculatedColumnFormula>
    </tableColumn>
    <tableColumn id="17" name="predecessor_reference_valid">
      <calculatedColumnFormula>IF(tblTasks[[#This Row],[task_id]]="","",IF(tblTasks[[#This Row],[predecessor_task_ids]]="","no_predecessor",IF(SUMPRODUCT((tblTasks[task_id]&lt;&gt;"")*ISNUMBER(SEARCH(tblTasks[task_id],tblTasks[[#This Row],[predecessor_task_ids]])))=LEN(tblTasks[[#This Row],[predecessor_task_ids]])-LEN(SUBSTITUTE(tblTasks[[#This Row],[predecessor_task_ids]],";",""))+1,"valid","invalid")))</calculatedColumnFormula>
    </tableColumn>
    <tableColumn id="18" name="reference_check">
      <calculatedColumnFormula>IF(tblTasks[[#This Row],[task_id]]="","",IF(COUNTIF(tblProjects[project_id],tblTasks[[#This Row],[project_id]])=0,"orphan_project",IF(COUNTIFS(tblPhases[phase_id],tblTasks[[#This Row],[phase_id]],tblPhases[project_id],tblTasks[[#This Row],[project_id]])=0,"orphan_phase",IF(AND(tblTasks[[#This Row],[milestone_id]]&lt;&gt;"",COUNTIFS(tblMilestones[milestone_id],tblTasks[[#This Row],[milestone_id]],tblMilestones[project_id],tblTasks[[#This Row],[project_id]])=0),"orphan_milestone","valid"))))</calculatedColumnFormula>
    </tableColumn>
    <tableColumn id="19" name="event_evidence">
      <calculatedColumnFormula>IF(tblTasks[[#This Row],[task_id]]="","",IF(tblTasks[[#This Row],[status]]="blocked",IF(COUNTIFS(tblEventLog[subject_id],tblTasks[[#This Row],[task_id]],tblEventLog[event_type],"task.status_changed")=0,"missing:task.status_changed","logged"),IF(AND(tblTasks[[#This Row],[status]]="completed",tblTasks[[#This Row],[completed_at]]&gt;=event_reconciliation_from_at,COUNTIFS(tblEventLog[subject_id],tblTasks[[#This Row],[task_id]],tblEventLog[event_type],"task.status_changed")=0),"missing:task.status_changed",IF(OR(AND(tblTasks[[#This Row],[status]]="completed",tblTasks[[#This Row],[completed_at]]&gt;=event_reconciliation_from_at)),"logged","not_required_or_before_window"))))</calculatedColumnFormula>
    </tableColumn>
  </tableColumns>
  <tableStyleInfo name="TableStyleLight1" showRowStripes="0" showColumnStripes="0"/>
</table>
</file>

<file path=xl/tables/table11.xml><?xml version="1.0" encoding="utf-8"?>
<table xmlns="http://schemas.openxmlformats.org/spreadsheetml/2006/main" id="11" name="tblRequests" displayName="tblRequests" ref="A4:T12" headerRowCount="1">
  <tableColumns count="20">
    <tableColumn id="1" name="request_id"/>
    <tableColumn id="2" name="project_id"/>
    <tableColumn id="3" name="request_type"/>
    <tableColumn id="4" name="status"/>
    <tableColumn id="5" name="submitted_at"/>
    <tableColumn id="6" name="submitted_by_role_id"/>
    <tableColumn id="7" name="owner_role_id"/>
    <tableColumn id="8" name="priority"/>
    <tableColumn id="9" name="due_at"/>
    <tableColumn id="10" name="status_changed_at"/>
    <tableColumn id="11" name="escalation_due_at"/>
    <tableColumn id="12" name="source"/>
    <tableColumn id="13" name="description"/>
    <tableColumn id="14" name="schema_version"/>
    <tableColumn id="15" name="status_check">
      <calculatedColumnFormula>IF(tblRequests[[#This Row],[request_id]]="","",IF(COUNTIFS(tblLookupEntries[lookup_type],"request_status",tblLookupEntries[key],tblRequests[[#This Row],[status]])&gt;0,"valid","invalid_status"))</calculatedColumnFormula>
    </tableColumn>
    <tableColumn id="16" name="escalation_rule_id">
      <calculatedColumnFormula>IF(tblRequests[[#This Row],[request_id]]="","",IFERROR(INDEX(tblEscalationRules[rule_id],MATCH("request|"&amp;tblRequests[[#This Row],[status]],tblEscalationRules[match_key],0)),""))</calculatedColumnFormula>
    </tableColumn>
    <tableColumn id="17" name="escalation_due_check">
      <calculatedColumnFormula>IF(tblRequests[[#This Row],[request_id]]="","",IF(tblRequests[[#This Row],[escalation_rule_id]]="",IF(tblRequests[[#This Row],[escalation_due_at]]="","consistent","unexpected_escalation_due_at"),IF(tblRequests[[#This Row],[escalation_due_at]]="","missing_escalation_due_at",IF(ABS((DATEVALUE(LEFT(tblRequests[[#This Row],[status_changed_at]],10))+TIMEVALUE(MID(tblRequests[[#This Row],[status_changed_at]],12,8)))+INDEX(tblEscalationRules[duration_hours],MATCH(tblRequests[[#This Row],[escalation_rule_id]],tblEscalationRules[rule_id],0))/24-(DATEVALUE(LEFT(tblRequests[[#This Row],[escalation_due_at]],10))+TIMEVALUE(MID(tblRequests[[#This Row],[escalation_due_at]],12,8))))&lt;0.0001,"consistent","mismatch"))))</calculatedColumnFormula>
    </tableColumn>
    <tableColumn id="18" name="escalation_due_state">
      <calculatedColumnFormula>IF(tblRequests[[#This Row],[request_id]]="","",IF(tblRequests[[#This Row],[status]]="closed","closed",IF(tblRequests[[#This Row],[escalation_due_at]]="","no_escalation_timer",IF(tblRequests[[#This Row],[escalation_due_at]]&lt;=calculation_as_of_at,"escalation_due","due_later"))))</calculatedColumnFormula>
    </tableColumn>
    <tableColumn id="19" name="reference_check">
      <calculatedColumnFormula>IF(tblRequests[[#This Row],[request_id]]="","",IF(COUNTIF(tblProjects[project_id],tblRequests[[#This Row],[project_id]])=0,"orphan_project","valid"))</calculatedColumnFormula>
    </tableColumn>
    <tableColumn id="20" name="event_evidence">
      <calculatedColumnFormula>IF(tblRequests[[#This Row],[request_id]]="","",IF(AND(TRUE,tblRequests[[#This Row],[submitted_at]]&gt;=event_reconciliation_from_at,COUNTIFS(tblEventLog[subject_id],tblRequests[[#This Row],[request_id]],tblEventLog[event_type],"request.submitted")=0),"missing:request.submitted",IF(AND(tblRequests[[#This Row],[status]]&lt;&gt;"submitted",tblRequests[[#This Row],[status_changed_at]]&gt;=event_reconciliation_from_at,COUNTIFS(tblEventLog[subject_id],tblRequests[[#This Row],[request_id]],tblEventLog[event_type],"request.status_changed")=0),"missing:request.status_changed",IF(OR(AND(TRUE,tblRequests[[#This Row],[submitted_at]]&gt;=event_reconciliation_from_at),AND(tblRequests[[#This Row],[status]]&lt;&gt;"submitted",tblRequests[[#This Row],[status_changed_at]]&gt;=event_reconciliation_from_at)),"logged","before_window"))))</calculatedColumnFormula>
    </tableColumn>
  </tableColumns>
  <tableStyleInfo name="TableStyleLight1" showRowStripes="0" showColumnStripes="0"/>
</table>
</file>

<file path=xl/tables/table12.xml><?xml version="1.0" encoding="utf-8"?>
<table xmlns="http://schemas.openxmlformats.org/spreadsheetml/2006/main" id="12" name="tblHandoffs" displayName="tblHandoffs" ref="V4:AK5" headerRowCount="1">
  <tableColumns count="16">
    <tableColumn id="1" name="handoff_id"/>
    <tableColumn id="2" name="project_id"/>
    <tableColumn id="3" name="from_role_id"/>
    <tableColumn id="4" name="to_role_id"/>
    <tableColumn id="5" name="handoff_type"/>
    <tableColumn id="6" name="status"/>
    <tableColumn id="7" name="required_artifact_refs"/>
    <tableColumn id="8" name="open_item_refs"/>
    <tableColumn id="9" name="requested_at"/>
    <tableColumn id="10" name="accepted_at"/>
    <tableColumn id="11" name="acceptance_person_id"/>
    <tableColumn id="12" name="schema_version"/>
    <tableColumn id="13" name="status_check">
      <calculatedColumnFormula>IF(tblHandoffs[[#This Row],[handoff_id]]="","",IF(COUNTIFS(tblLookupEntries[lookup_type],"handoff_status",tblLookupEntries[key],tblHandoffs[[#This Row],[status]])&gt;0,"valid","invalid_status"))</calculatedColumnFormula>
    </tableColumn>
    <tableColumn id="14" name="acceptance_check">
      <calculatedColumnFormula>IF(tblHandoffs[[#This Row],[handoff_id]]="","",IF(tblHandoffs[[#This Row],[status]]="accepted",IF(AND(LEFT(tblHandoffs[[#This Row],[acceptance_person_id]],4)="PER-",tblHandoffs[[#This Row],[accepted_at]]&lt;&gt;""),"named_acceptance","missing_named_acceptance"),"not_accepted"))</calculatedColumnFormula>
    </tableColumn>
    <tableColumn id="15" name="reference_check">
      <calculatedColumnFormula>IF(tblHandoffs[[#This Row],[handoff_id]]="","",IF(COUNTIF(tblProjects[project_id],tblHandoffs[[#This Row],[project_id]])=0,"orphan_project","valid"))</calculatedColumnFormula>
    </tableColumn>
    <tableColumn id="16" name="event_evidence">
      <calculatedColumnFormula>IF(tblHandoffs[[#This Row],[handoff_id]]="","",IF(AND(tblHandoffs[[#This Row],[status]]="accepted",tblHandoffs[[#This Row],[accepted_at]]&gt;=event_reconciliation_from_at,COUNTIFS(tblEventLog[subject_id],tblHandoffs[[#This Row],[handoff_id]],tblEventLog[event_type],"handoff.completed")=0),"missing:handoff.completed",IF(OR(AND(tblHandoffs[[#This Row],[status]]="accepted",tblHandoffs[[#This Row],[accepted_at]]&gt;=event_reconciliation_from_at)),"logged","not_required_or_before_window")))</calculatedColumnFormula>
    </tableColumn>
  </tableColumns>
  <tableStyleInfo name="TableStyleLight1" showRowStripes="0" showColumnStripes="0"/>
</table>
</file>

<file path=xl/tables/table13.xml><?xml version="1.0" encoding="utf-8"?>
<table xmlns="http://schemas.openxmlformats.org/spreadsheetml/2006/main" id="13" name="tblEscalationRules" displayName="tblEscalationRules" ref="A4:P16" headerRowCount="1">
  <tableColumns count="16">
    <tableColumn id="1" name="rule_id"/>
    <tableColumn id="2" name="source_file"/>
    <tableColumn id="3" name="source_version"/>
    <tableColumn id="4" name="rule_kind"/>
    <tableColumn id="5" name="rule_key"/>
    <tableColumn id="6" name="applies_to"/>
    <tableColumn id="7" name="trigger"/>
    <tableColumn id="8" name="duration_parameter"/>
    <tableColumn id="9" name="duration_hours"/>
    <tableColumn id="10" name="warning_behavior"/>
    <tableColumn id="11" name="escalation_role_id"/>
    <tableColumn id="12" name="escalation_severity"/>
    <tableColumn id="13" name="action"/>
    <tableColumn id="14" name="enabled"/>
    <tableColumn id="15" name="stage_behavior"/>
    <tableColumn id="16" name="match_key"/>
  </tableColumns>
  <tableStyleInfo name="TableStyleLight1" showRowStripes="0" showColumnStripes="0"/>
</table>
</file>

<file path=xl/tables/table14.xml><?xml version="1.0" encoding="utf-8"?>
<table xmlns="http://schemas.openxmlformats.org/spreadsheetml/2006/main" id="14" name="tblRisks" displayName="tblRisks" ref="A4:R10" headerRowCount="1">
  <tableColumns count="18">
    <tableColumn id="1" name="risk_id"/>
    <tableColumn id="2" name="project_id"/>
    <tableColumn id="3" name="phase_id"/>
    <tableColumn id="4" name="title"/>
    <tableColumn id="5" name="description"/>
    <tableColumn id="6" name="likelihood"/>
    <tableColumn id="7" name="impact"/>
    <tableColumn id="8" name="risk_score">
      <calculatedColumnFormula>IF(tblRisks[[#This Row],[risk_id]]="","",IF(AND(ISNUMBER(tblRisks[[#This Row],[likelihood]]),ISNUMBER(tblRisks[[#This Row],[impact]])),IF(AND(tblRisks[[#This Row],[likelihood]]=INT(tblRisks[[#This Row],[likelihood]]),tblRisks[[#This Row],[impact]]=INT(tblRisks[[#This Row],[impact]]),tblRisks[[#This Row],[likelihood]]&gt;=risk_likelihood_min,tblRisks[[#This Row],[likelihood]]&lt;=risk_likelihood_max,tblRisks[[#This Row],[impact]]&gt;=risk_impact_min,tblRisks[[#This Row],[impact]]&lt;=risk_impact_max),tblRisks[[#This Row],[likelihood]]*tblRisks[[#This Row],[impact]],"invalid_scale_value"),"invalid_scale_value"))</calculatedColumnFormula>
    </tableColumn>
    <tableColumn id="9" name="status"/>
    <tableColumn id="10" name="owner_role_id"/>
    <tableColumn id="11" name="mitigation"/>
    <tableColumn id="12" name="identified_at"/>
    <tableColumn id="13" name="resolved_at"/>
    <tableColumn id="14" name="schema_version"/>
    <tableColumn id="15" name="risk_band">
      <calculatedColumnFormula>IF(tblRisks[[#This Row],[risk_id]]="","",IF(ISNUMBER(tblRisks[[#This Row],[risk_score]]),IFERROR(INDEX(tblRiskBands[band],MATCH(tblRisks[[#This Row],[risk_score]],tblRiskBands[min_score],1)),"no_band"),"invalid_scale_value"))</calculatedColumnFormula>
    </tableColumn>
    <tableColumn id="16" name="risk_severity">
      <calculatedColumnFormula>IF(tblRisks[[#This Row],[risk_id]]="","",IF(ISNUMBER(tblRisks[[#This Row],[risk_score]]),IFERROR(INDEX(tblRiskBands[severity],MATCH(tblRisks[[#This Row],[risk_score]],tblRiskBands[min_score],1)),"no_band"),"invalid_scale_value"))</calculatedColumnFormula>
    </tableColumn>
    <tableColumn id="17" name="reference_check">
      <calculatedColumnFormula>IF(tblRisks[[#This Row],[risk_id]]="","",IF(COUNTIF(tblProjects[project_id],tblRisks[[#This Row],[project_id]])=0,"orphan_project",IF(COUNTIFS(tblPhases[phase_id],tblRisks[[#This Row],[phase_id]],tblPhases[project_id],tblRisks[[#This Row],[project_id]])=0,"orphan_phase","valid")))</calculatedColumnFormula>
    </tableColumn>
    <tableColumn id="18" name="event_evidence">
      <calculatedColumnFormula>IF(tblRisks[[#This Row],[risk_id]]="","",IF(AND(TRUE,tblRisks[[#This Row],[identified_at]]&gt;=event_reconciliation_from_at,COUNTIFS(tblEventLog[subject_id],tblRisks[[#This Row],[risk_id]],tblEventLog[event_type],"risk.logged")=0),"missing:risk.logged",IF(OR(AND(TRUE,tblRisks[[#This Row],[identified_at]]&gt;=event_reconciliation_from_at)),"logged","before_window")))</calculatedColumnFormula>
    </tableColumn>
  </tableColumns>
  <tableStyleInfo name="TableStyleLight1" showRowStripes="0" showColumnStripes="0"/>
</table>
</file>

<file path=xl/tables/table15.xml><?xml version="1.0" encoding="utf-8"?>
<table xmlns="http://schemas.openxmlformats.org/spreadsheetml/2006/main" id="15" name="tblIssues" displayName="tblIssues" ref="T4:AH9" headerRowCount="1">
  <tableColumns count="15">
    <tableColumn id="1" name="issue_id"/>
    <tableColumn id="2" name="project_id"/>
    <tableColumn id="3" name="phase_id"/>
    <tableColumn id="4" name="title"/>
    <tableColumn id="5" name="description"/>
    <tableColumn id="6" name="severity"/>
    <tableColumn id="7" name="status"/>
    <tableColumn id="8" name="owner_role_id"/>
    <tableColumn id="9" name="opened_at"/>
    <tableColumn id="10" name="resolved_at"/>
    <tableColumn id="11" name="resolution"/>
    <tableColumn id="12" name="schema_version"/>
    <tableColumn id="13" name="severity_check">
      <calculatedColumnFormula>IF(tblIssues[[#This Row],[issue_id]]="","",IF(COUNTIFS(tblLookupEntries[lookup_type],"severity",tblLookupEntries[key],tblIssues[[#This Row],[severity]])&gt;0,"valid","invalid_severity"))</calculatedColumnFormula>
    </tableColumn>
    <tableColumn id="14" name="reference_check">
      <calculatedColumnFormula>IF(tblIssues[[#This Row],[issue_id]]="","",IF(COUNTIF(tblProjects[project_id],tblIssues[[#This Row],[project_id]])=0,"orphan_project",IF(COUNTIFS(tblPhases[phase_id],tblIssues[[#This Row],[phase_id]],tblPhases[project_id],tblIssues[[#This Row],[project_id]])=0,"orphan_phase","valid")))</calculatedColumnFormula>
    </tableColumn>
    <tableColumn id="15" name="event_evidence">
      <calculatedColumnFormula>IF(tblIssues[[#This Row],[issue_id]]="","",IF(AND(TRUE,tblIssues[[#This Row],[opened_at]]&gt;=event_reconciliation_from_at,COUNTIFS(tblEventLog[subject_id],tblIssues[[#This Row],[issue_id]],tblEventLog[event_type],"issue.logged")=0),"missing:issue.logged",IF(AND(OR(tblIssues[[#This Row],[status]]="resolved",tblIssues[[#This Row],[status]]="closed"),tblIssues[[#This Row],[resolved_at]]&gt;=event_reconciliation_from_at,COUNTIFS(tblEventLog[subject_id],tblIssues[[#This Row],[issue_id]],tblEventLog[event_type],"issue.resolved")=0),"missing:issue.resolved",IF(OR(AND(TRUE,tblIssues[[#This Row],[opened_at]]&gt;=event_reconciliation_from_at),AND(OR(tblIssues[[#This Row],[status]]="resolved",tblIssues[[#This Row],[status]]="closed"),tblIssues[[#This Row],[resolved_at]]&gt;=event_reconciliation_from_at)),"logged","before_window"))))</calculatedColumnFormula>
    </tableColumn>
  </tableColumns>
  <tableStyleInfo name="TableStyleLight1" showRowStripes="0" showColumnStripes="0"/>
</table>
</file>

<file path=xl/tables/table16.xml><?xml version="1.0" encoding="utf-8"?>
<table xmlns="http://schemas.openxmlformats.org/spreadsheetml/2006/main" id="16" name="tblReadiness" displayName="tblReadiness" ref="A4:S22" headerRowCount="1">
  <tableColumns count="19">
    <tableColumn id="1" name="readiness_entry_id"/>
    <tableColumn id="2" name="readiness_scorecard_id"/>
    <tableColumn id="3" name="project_id"/>
    <tableColumn id="4" name="assessment_purpose"/>
    <tableColumn id="5" name="assessed_at"/>
    <tableColumn id="6" name="calculation_version"/>
    <tableColumn id="7" name="category"/>
    <tableColumn id="8" name="weight">
      <calculatedColumnFormula>IF(tblReadiness[[#This Row],[readiness_entry_id]]="","",IFERROR(INDEX(tblReadinessWeights[weight],MATCH(tblReadiness[[#This Row],[category]],tblReadinessWeights[category],0)),"unknown_category"))</calculatedColumnFormula>
    </tableColumn>
    <tableColumn id="9" name="criteria_total_count"/>
    <tableColumn id="10" name="criteria_met_count"/>
    <tableColumn id="11" name="achieved_rate">
      <calculatedColumnFormula>IF(tblReadiness[[#This Row],[readiness_entry_id]]="","",IF(AND(ISNUMBER(tblReadiness[[#This Row],[criteria_total_count]]),ISNUMBER(tblReadiness[[#This Row],[criteria_met_count]])),IF(AND(tblReadiness[[#This Row],[criteria_total_count]]&gt;=1,tblReadiness[[#This Row],[criteria_met_count]]&gt;=0,tblReadiness[[#This Row],[criteria_met_count]]&lt;=tblReadiness[[#This Row],[criteria_total_count]]),tblReadiness[[#This Row],[criteria_met_count]]/tblReadiness[[#This Row],[criteria_total_count]],"invalid_criteria_counts"),"invalid_criteria_counts"))</calculatedColumnFormula>
    </tableColumn>
    <tableColumn id="12" name="category_score">
      <calculatedColumnFormula>IF(tblReadiness[[#This Row],[readiness_entry_id]]="","",IF(ISNUMBER(tblReadiness[[#This Row],[weighted_result]]),ROUND(tblReadiness[[#This Row],[weighted_result]],2),""))</calculatedColumnFormula>
    </tableColumn>
    <tableColumn id="13" name="required_evidence_complete_flag"/>
    <tableColumn id="14" name="evidence_refs"/>
    <tableColumn id="15" name="overall_score">
      <calculatedColumnFormula>IF(tblReadiness[[#This Row],[readiness_entry_id]]="","",IF(COUNTIFS(tblReadiness[readiness_scorecard_id],tblReadiness[[#This Row],[readiness_scorecard_id]],tblReadiness[category_count_check],"complete")&lt;&gt;ROWS(tblReadinessWeights[category]),"incomplete_scorecard",IFERROR(ROUND(100*SUMIFS(tblReadiness[weighted_result],tblReadiness[readiness_scorecard_id],tblReadiness[[#This Row],[readiness_scorecard_id]])/SUMIFS(tblReadiness[weight],tblReadiness[readiness_scorecard_id],tblReadiness[[#This Row],[readiness_scorecard_id]]),2),"incomplete_scorecard")))</calculatedColumnFormula>
    </tableColumn>
    <tableColumn id="16" name="incomplete_required_evidence_flag">
      <calculatedColumnFormula>IF(tblReadiness[[#This Row],[readiness_entry_id]]="","",COUNTIFS(tblReadiness[readiness_scorecard_id],tblReadiness[[#This Row],[readiness_scorecard_id]],tblReadiness[required_evidence_complete_flag],FALSE)&gt;0)</calculatedColumnFormula>
    </tableColumn>
    <tableColumn id="17" name="schema_version"/>
    <tableColumn id="18" name="weighted_result">
      <calculatedColumnFormula>IF(tblReadiness[[#This Row],[readiness_entry_id]]="","",IF(AND(ISNUMBER(tblReadiness[[#This Row],[weight]]),ISNUMBER(tblReadiness[[#This Row],[achieved_rate]])),tblReadiness[[#This Row],[weight]]*tblReadiness[[#This Row],[achieved_rate]],""))</calculatedColumnFormula>
    </tableColumn>
    <tableColumn id="19" name="category_count_check">
      <calculatedColumnFormula>IF(tblReadiness[[#This Row],[readiness_entry_id]]="","",IF(COUNTIF(tblReadiness[readiness_scorecard_id],tblReadiness[[#This Row],[readiness_scorecard_id]])&lt;&gt;ROWS(tblReadinessWeights[category]),"missing_or_extra_category",IF(COUNTIFS(tblReadiness[readiness_scorecard_id],tblReadiness[[#This Row],[readiness_scorecard_id]],tblReadiness[category],tblReadiness[[#This Row],[category]])&lt;&gt;1,"duplicate_category",IF(COUNTIF(tblReadinessWeights[category],tblReadiness[[#This Row],[category]])=0,"unknown_category","complete"))))</calculatedColumnFormula>
    </tableColumn>
  </tableColumns>
  <tableStyleInfo name="TableStyleLight1" showRowStripes="0" showColumnStripes="0"/>
</table>
</file>

<file path=xl/tables/table17.xml><?xml version="1.0" encoding="utf-8"?>
<table xmlns="http://schemas.openxmlformats.org/spreadsheetml/2006/main" id="17" name="tblReadinessSummary" displayName="tblReadinessSummary" ref="U4:AB7" headerRowCount="1">
  <tableColumns count="8">
    <tableColumn id="1" name="readiness_scorecard_id"/>
    <tableColumn id="2" name="project_id">
      <calculatedColumnFormula>IF(tblReadinessSummary[[#This Row],[readiness_scorecard_id]]="","",IFERROR(INDEX(tblReadiness[project_id],MATCH(tblReadinessSummary[[#This Row],[readiness_scorecard_id]],tblReadiness[readiness_scorecard_id],0)),"scorecard_not_found")&amp;"")</calculatedColumnFormula>
    </tableColumn>
    <tableColumn id="3" name="assessment_purpose">
      <calculatedColumnFormula>IF(tblReadinessSummary[[#This Row],[readiness_scorecard_id]]="","",IFERROR(INDEX(tblReadiness[assessment_purpose],MATCH(tblReadinessSummary[[#This Row],[readiness_scorecard_id]],tblReadiness[readiness_scorecard_id],0)),"scorecard_not_found")&amp;"")</calculatedColumnFormula>
    </tableColumn>
    <tableColumn id="4" name="assessed_at">
      <calculatedColumnFormula>IF(tblReadinessSummary[[#This Row],[readiness_scorecard_id]]="","",IFERROR(INDEX(tblReadiness[assessed_at],MATCH(tblReadinessSummary[[#This Row],[readiness_scorecard_id]],tblReadiness[readiness_scorecard_id],0)),"scorecard_not_found")&amp;"")</calculatedColumnFormula>
    </tableColumn>
    <tableColumn id="5" name="overall_score">
      <calculatedColumnFormula>IF(tblReadinessSummary[[#This Row],[readiness_scorecard_id]]="","",IFERROR(INDEX(tblReadiness[overall_score],MATCH(tblReadinessSummary[[#This Row],[readiness_scorecard_id]],tblReadiness[readiness_scorecard_id],0)),"scorecard_not_found"))</calculatedColumnFormula>
    </tableColumn>
    <tableColumn id="6" name="incomplete_required_evidence_flag">
      <calculatedColumnFormula>IF(tblReadinessSummary[[#This Row],[readiness_scorecard_id]]="","",IFERROR(INDEX(tblReadiness[incomplete_required_evidence_flag],MATCH(tblReadinessSummary[[#This Row],[readiness_scorecard_id]],tblReadiness[readiness_scorecard_id],0)),"scorecard_not_found"))</calculatedColumnFormula>
    </tableColumn>
    <tableColumn id="7" name="evidence_warning">
      <calculatedColumnFormula>IF(tblReadinessSummary[[#This Row],[readiness_scorecard_id]]="","",IF(tblReadinessSummary[[#This Row],[incomplete_required_evidence_flag]]=TRUE,"Required evidence incomplete: resolve before the human launch decision",IF(tblReadinessSummary[[#This Row],[incomplete_required_evidence_flag]]=FALSE,"Required evidence complete","scorecard_not_found")))</calculatedColumnFormula>
    </tableColumn>
    <tableColumn id="8" name="event_evidence">
      <calculatedColumnFormula>IF(tblReadinessSummary[[#This Row],[readiness_scorecard_id]]="","",IF(tblReadinessSummary[[#This Row],[assessed_at]]&lt;event_reconciliation_from_at,"before_window",IF(COUNTIFS(tblEventLog[subject_id],tblReadinessSummary[[#This Row],[readiness_scorecard_id]],tblEventLog[event_type],"readiness.scored")&gt;0,"logged","missing:readiness.scored")))</calculatedColumnFormula>
    </tableColumn>
  </tableColumns>
  <tableStyleInfo name="TableStyleLight1" showRowStripes="0" showColumnStripes="0"/>
</table>
</file>

<file path=xl/tables/table18.xml><?xml version="1.0" encoding="utf-8"?>
<table xmlns="http://schemas.openxmlformats.org/spreadsheetml/2006/main" id="18" name="tblCapacityInputs" displayName="tblCapacityInputs" ref="A4:S39" headerRowCount="1">
  <tableColumns count="19">
    <tableColumn id="1" name="capacity_input_id"/>
    <tableColumn id="2" name="period">
      <calculatedColumnFormula>IF(tblCapacityInputs[[#This Row],[capacity_input_id]]="","",IFERROR(IF(LEFT(tblCapacityInputs[[#This Row],[workload_component_id]],3)="TSK",LEFT(INDEX(tblTasks[planned_due_date],MATCH(tblCapacityInputs[[#This Row],[workload_component_id]],tblTasks[task_id],0))&amp;"",7),LEFT(INDEX(tblPhases[entered_at],MATCH(tblCapacityInputs[[#This Row],[workload_component_id]],tblPhases[phase_id],0))&amp;"",7)),""))</calculatedColumnFormula>
    </tableColumn>
    <tableColumn id="3" name="project_id">
      <calculatedColumnFormula>IF(tblCapacityInputs[[#This Row],[capacity_input_id]]="","",IFERROR(IF(tblCapacityInputs[[#This Row],[source_entity_type]]="task",INDEX(tblTasks[project_id],MATCH(tblCapacityInputs[[#This Row],[source_entity_id]],tblTasks[task_id],0)),IF(tblCapacityInputs[[#This Row],[source_entity_type]]="request",INDEX(tblRequests[project_id],MATCH(tblCapacityInputs[[#This Row],[source_entity_id]],tblRequests[request_id],0)),IF(tblCapacityInputs[[#This Row],[source_entity_type]]="handoff",INDEX(tblHandoffs[project_id],MATCH(tblCapacityInputs[[#This Row],[source_entity_id]],tblHandoffs[handoff_id],0)),IF(tblCapacityInputs[[#This Row],[source_entity_type]]="phase",INDEX(tblPhases[project_id],MATCH(tblCapacityInputs[[#This Row],[source_entity_id]],tblPhases[phase_id],0)),"source_not_found"))))&amp;"","source_not_found"))</calculatedColumnFormula>
    </tableColumn>
    <tableColumn id="4" name="source_entity_type"/>
    <tableColumn id="5" name="source_entity_id"/>
    <tableColumn id="6" name="role_id">
      <calculatedColumnFormula>IF(tblCapacityInputs[[#This Row],[capacity_input_id]]="","",IFERROR(IF(tblCapacityInputs[[#This Row],[source_entity_type]]="task",INDEX(tblTasks[owner_role_id],MATCH(tblCapacityInputs[[#This Row],[source_entity_id]],tblTasks[task_id],0)),IF(tblCapacityInputs[[#This Row],[source_entity_type]]="request",INDEX(tblRequests[owner_role_id],MATCH(tblCapacityInputs[[#This Row],[source_entity_id]],tblRequests[request_id],0)),IF(tblCapacityInputs[[#This Row],[source_entity_type]]="handoff",INDEX(tblHandoffs[to_role_id],MATCH(tblCapacityInputs[[#This Row],[source_entity_id]],tblHandoffs[handoff_id],0)),IF(tblCapacityInputs[[#This Row],[source_entity_type]]="phase",INDEX(tblPhases[owner_role_id],MATCH(tblCapacityInputs[[#This Row],[source_entity_id]],tblPhases[phase_id],0)),"source_not_found"))))&amp;"","source_not_found"))</calculatedColumnFormula>
    </tableColumn>
    <tableColumn id="7" name="workload_component_id"/>
    <tableColumn id="8" name="workload_type"/>
    <tableColumn id="9" name="planned_hours">
      <calculatedColumnFormula>IF(tblCapacityInputs[[#This Row],[capacity_input_id]]="","",IFERROR(IF(LEFT(tblCapacityInputs[[#This Row],[workload_component_id]],3)="TSK",INDEX(tblTasks[planned_hours],MATCH(tblCapacityInputs[[#This Row],[workload_component_id]],tblTasks[task_id],0))*1,IF(LEFT(tblCapacityInputs[[#This Row],[workload_component_id]],3)="PHS",SUMIFS(tblTasks[planned_hours],tblTasks[phase_id],tblCapacityInputs[[#This Row],[workload_component_id]]),"component_not_found")),"component_not_found"))</calculatedColumnFormula>
    </tableColumn>
    <tableColumn id="10" name="actual_hours">
      <calculatedColumnFormula>IF(tblCapacityInputs[[#This Row],[capacity_input_id]]="","",IFERROR(IF(LEFT(tblCapacityInputs[[#This Row],[workload_component_id]],3)="TSK",INDEX(tblTasks[actual_hours],MATCH(tblCapacityInputs[[#This Row],[workload_component_id]],tblTasks[task_id],0))*1,IF(LEFT(tblCapacityInputs[[#This Row],[workload_component_id]],3)="PHS",SUMIFS(tblTasks[actual_hours],tblTasks[phase_id],tblCapacityInputs[[#This Row],[workload_component_id]]),"component_not_found")),"component_not_found"))</calculatedColumnFormula>
    </tableColumn>
    <tableColumn id="11" name="unit"/>
    <tableColumn id="12" name="capacity_inclusion_method"/>
    <tableColumn id="13" name="source_repo"/>
    <tableColumn id="14" name="source_version"/>
    <tableColumn id="15" name="org_stage">
      <calculatedColumnFormula>IF(tblCapacityInputs[[#This Row],[capacity_input_id]]="","",IFERROR(INDEX(tblProjects[org_stage],MATCH(tblCapacityInputs[[#This Row],[project_id]],tblProjects[project_id],0))&amp;"",""))</calculatedColumnFormula>
    </tableColumn>
    <tableColumn id="16" name="export_ready_flag">
      <calculatedColumnFormula>IF(tblCapacityInputs[[#This Row],[capacity_input_id]]="","",AND(NOT(tblCapacityInputs[[#This Row],[duplicate_authoritative_flag]]),ISNUMBER(tblCapacityInputs[[#This Row],[planned_hours]]),ISNUMBER(tblCapacityInputs[[#This Row],[actual_hours]]),tblCapacityInputs[[#This Row],[unit]]="hours",tblCapacityInputs[[#This Row],[project_id]]&lt;&gt;"source_not_found",COUNTIFS(tblLookupEntries[lookup_type],"capacity_inclusion_method",tblLookupEntries[key],tblCapacityInputs[[#This Row],[capacity_inclusion_method]])&gt;0))</calculatedColumnFormula>
    </tableColumn>
    <tableColumn id="17" name="duplicate_authoritative_flag">
      <calculatedColumnFormula>IF(tblCapacityInputs[[#This Row],[capacity_input_id]]="","",AND(tblCapacityInputs[[#This Row],[capacity_inclusion_method]]="authoritative_workload",COUNTIFS(tblCapacityInputs[workload_component_id],tblCapacityInputs[[#This Row],[workload_component_id]],tblCapacityInputs[capacity_inclusion_method],"authoritative_workload")&gt;1))</calculatedColumnFormula>
    </tableColumn>
    <tableColumn id="18" name="authoritative_planned_hours">
      <calculatedColumnFormula>IF(tblCapacityInputs[[#This Row],[capacity_input_id]]="","",IF(AND(tblCapacityInputs[[#This Row],[capacity_inclusion_method]]="authoritative_workload",NOT(tblCapacityInputs[[#This Row],[duplicate_authoritative_flag]]),ISNUMBER(tblCapacityInputs[[#This Row],[planned_hours]])),tblCapacityInputs[[#This Row],[planned_hours]],0))</calculatedColumnFormula>
    </tableColumn>
    <tableColumn id="19" name="authoritative_actual_hours">
      <calculatedColumnFormula>IF(tblCapacityInputs[[#This Row],[capacity_input_id]]="","",IF(AND(tblCapacityInputs[[#This Row],[capacity_inclusion_method]]="authoritative_workload",NOT(tblCapacityInputs[[#This Row],[duplicate_authoritative_flag]]),ISNUMBER(tblCapacityInputs[[#This Row],[actual_hours]])),tblCapacityInputs[[#This Row],[actual_hours]],0))</calculatedColumnFormula>
    </tableColumn>
  </tableColumns>
  <tableStyleInfo name="TableStyleLight1" showRowStripes="0" showColumnStripes="0"/>
</table>
</file>

<file path=xl/tables/table19.xml><?xml version="1.0" encoding="utf-8"?>
<table xmlns="http://schemas.openxmlformats.org/spreadsheetml/2006/main" id="19" name="tblCapacitySummary" displayName="tblCapacitySummary" ref="U4:W15" headerRowCount="1">
  <tableColumns count="3">
    <tableColumn id="1" name="check_key"/>
    <tableColumn id="2" name="value"/>
    <tableColumn id="3" name="meaning"/>
  </tableColumns>
  <tableStyleInfo name="TableStyleLight1" showRowStripes="0" showColumnStripes="0"/>
</table>
</file>

<file path=xl/tables/table20.xml><?xml version="1.0" encoding="utf-8"?>
<table xmlns="http://schemas.openxmlformats.org/spreadsheetml/2006/main" id="20" name="tblEventLog" displayName="tblEventLog" ref="A4:P42" headerRowCount="1">
  <tableColumns count="16">
    <tableColumn id="1" name="event_id"/>
    <tableColumn id="2" name="event_type"/>
    <tableColumn id="3" name="occurred_at"/>
    <tableColumn id="4" name="actor_id"/>
    <tableColumn id="5" name="actor_type"/>
    <tableColumn id="6" name="subject_type"/>
    <tableColumn id="7" name="subject_id"/>
    <tableColumn id="8" name="payload"/>
    <tableColumn id="9" name="source_repo"/>
    <tableColumn id="10" name="schema_version"/>
    <tableColumn id="11" name="event_type_check">
      <calculatedColumnFormula>IF(tblEventLog[[#This Row],[event_id]]="","",IF(COUNTIFS(tblLookupEntries[lookup_type],"event_type",tblLookupEntries[key],tblEventLog[[#This Row],[event_type]])=0,"not_registered_for_v0_1",IF(COUNTIFS(tblLookupEntries[lookup_type],"event_type",tblLookupEntries[key],tblEventLog[[#This Row],[event_type]],tblLookupEntries[display_value],tblEventLog[[#This Row],[subject_type]])=0,"subject_type_mismatch","registered")))</calculatedColumnFormula>
    </tableColumn>
    <tableColumn id="12" name="source_repo_check">
      <calculatedColumnFormula>IF(tblEventLog[[#This Row],[event_id]]="","",IF(tblEventLog[[#This Row],[source_repo]]="implementation-operating-system","catalog_producer","wrong_source_repo"))</calculatedColumnFormula>
    </tableColumn>
    <tableColumn id="13" name="actor_check">
      <calculatedColumnFormula>IF(tblEventLog[[#This Row],[event_id]]="","",IF(tblEventLog[[#This Row],[actor_type]]="human",IF(LEFT(tblEventLog[[#This Row],[actor_id]],4)="PER-","valid","human_actor_not_person"),IF(tblEventLog[[#This Row],[actor_type]]="system",IF(COUNTIFS(tblLookupEntries[lookup_type],"rule_id",tblLookupEntries[key],tblEventLog[[#This Row],[actor_id]])&gt;0,"valid","unknown_system_actor"),IF(tblEventLog[[#This Row],[actor_type]]="ai_agent","ai_actor_not_used_in_v0_1","invalid_actor_type"))))</calculatedColumnFormula>
    </tableColumn>
    <tableColumn id="14" name="subject_check">
      <calculatedColumnFormula>IF(tblEventLog[[#This Row],[event_id]]="","",IF(LEFT(tblEventLog[[#This Row],[subject_id]],3)="PRJ",IF(COUNTIF(tblProjects[project_id],tblEventLog[[#This Row],[subject_id]])&gt;0,"found","missing"),IF(LEFT(tblEventLog[[#This Row],[subject_id]],3)="PHS",IF(COUNTIF(tblPhases[phase_id],tblEventLog[[#This Row],[subject_id]])&gt;0,"found","missing"),IF(LEFT(tblEventLog[[#This Row],[subject_id]],3)="MLS",IF(COUNTIF(tblMilestones[milestone_id],tblEventLog[[#This Row],[subject_id]])&gt;0,"found","missing"),IF(LEFT(tblEventLog[[#This Row],[subject_id]],3)="TSK",IF(COUNTIF(tblTasks[task_id],tblEventLog[[#This Row],[subject_id]])&gt;0,"found","missing"),IF(LEFT(tblEventLog[[#This Row],[subject_id]],3)="REQ",IF(COUNTIF(tblRequests[request_id],tblEventLog[[#This Row],[subject_id]])&gt;0,"found","missing"),IF(LEFT(tblEventLog[[#This Row],[subject_id]],3)="RSK",IF(COUNTIF(tblRisks[risk_id],tblEventLog[[#This Row],[subject_id]])&gt;0,"found","missing"),IF(LEFT(tblEventLog[[#This Row],[subject_id]],3)="ISS",IF(COUNTIF(tblIssues[issue_id],tblEventLog[[#This Row],[subject_id]])&gt;0,"found","missing"),IF(LEFT(tblEventLog[[#This Row],[subject_id]],3)="RDS",IF(COUNTIF(tblReadinessSummary[readiness_scorecard_id],tblEventLog[[#This Row],[subject_id]])&gt;0,"found","missing"),IF(LEFT(tblEventLog[[#This Row],[subject_id]],3)="GAT",IF(COUNTIF(tblGateAssessments[gate_assessment_id],tblEventLog[[#This Row],[subject_id]])&gt;0,"found","event_only_record"),IF(LEFT(tblEventLog[[#This Row],[subject_id]],3)="HND",IF(COUNTIF(tblHandoffs[handoff_id],tblEventLog[[#This Row],[subject_id]])&gt;0,"found","event_only_record"),"unsupported_subject")))))))))))</calculatedColumnFormula>
    </tableColumn>
    <tableColumn id="15" name="payload_check">
      <calculatedColumnFormula>IF(tblEventLog[[#This Row],[event_id]]="","",IF(AND(LEFT(TRIM(tblEventLog[[#This Row],[payload]]),1)="{",RIGHT(TRIM(tblEventLog[[#This Row],[payload]]),1)="}"),"object_text","not_json_object"))</calculatedColumnFormula>
    </tableColumn>
    <tableColumn id="16" name="request_transition_check">
      <calculatedColumnFormula>IF(tblEventLog[[#This Row],[event_id]]="","",IF(tblEventLog[[#This Row],[event_type]]&lt;&gt;"request.status_changed","not_applicable",IF(COUNTIFS(tblLookupEntries[lookup_type],"request_transition",tblLookupEntries[key],IFERROR(MID(tblEventLog[[#This Row],[payload]],FIND("""from_status"": """,tblEventLog[[#This Row],[payload]])+16,FIND("""",tblEventLog[[#This Row],[payload]],FIND("""from_status"": """,tblEventLog[[#This Row],[payload]])+16)-FIND("""from_status"": """,tblEventLog[[#This Row],[payload]])-16),"")&amp;"&gt;"&amp;IFERROR(MID(tblEventLog[[#This Row],[payload]],FIND("""to_status"": """,tblEventLog[[#This Row],[payload]])+14,FIND("""",tblEventLog[[#This Row],[payload]],FIND("""to_status"": """,tblEventLog[[#This Row],[payload]])+14)-FIND("""to_status"": """,tblEventLog[[#This Row],[payload]])-14),""))&gt;0,"legal","illegal")))</calculatedColumnFormula>
    </tableColumn>
  </tableColumns>
  <tableStyleInfo name="TableStyleLight1" showRowStripes="0" showColumnStripes="0"/>
</table>
</file>

<file path=xl/tables/table21.xml><?xml version="1.0" encoding="utf-8"?>
<table xmlns="http://schemas.openxmlformats.org/spreadsheetml/2006/main" id="21" name="tblKpiSummary" displayName="tblKpiSummary" ref="A4:F19" headerRowCount="1">
  <tableColumns count="6">
    <tableColumn id="1" name="kpi_key"/>
    <tableColumn id="2" name="label"/>
    <tableColumn id="3" name="value"/>
    <tableColumn id="4" name="grain"/>
    <tableColumn id="5" name="source_table"/>
    <tableColumn id="6" name="authority_classification"/>
  </tableColumns>
  <tableStyleInfo name="TableStyleLight1" showRowStripes="0" showColumnStripes="0"/>
</table>
</file>

<file path=xl/tables/table22.xml><?xml version="1.0" encoding="utf-8"?>
<table xmlns="http://schemas.openxmlformats.org/spreadsheetml/2006/main" id="22" name="tblPhaseSummary" displayName="tblPhaseSummary" ref="H4:J14" headerRowCount="1">
  <tableColumns count="3">
    <tableColumn id="1" name="position"/>
    <tableColumn id="2" name="phase_key">
      <calculatedColumnFormula>IFERROR(INDEX(lst_phase_key,tblPhaseSummary[[#This Row],[position]]),"")</calculatedColumnFormula>
    </tableColumn>
    <tableColumn id="3" name="project_count">
      <calculatedColumnFormula>COUNTIF(tblProjects[current_phase_key],tblPhaseSummary[[#This Row],[phase_key]])</calculatedColumnFormula>
    </tableColumn>
  </tableColumns>
  <tableStyleInfo name="TableStyleLight1" showRowStripes="0" showColumnStripes="0"/>
</table>
</file>

<file path=xl/tables/table23.xml><?xml version="1.0" encoding="utf-8"?>
<table xmlns="http://schemas.openxmlformats.org/spreadsheetml/2006/main" id="23" name="tblRequestStatusSummary" displayName="tblRequestStatusSummary" ref="L4:N13" headerRowCount="1">
  <tableColumns count="3">
    <tableColumn id="1" name="position"/>
    <tableColumn id="2" name="request_status">
      <calculatedColumnFormula>IFERROR(INDEX(lst_request_status,tblRequestStatusSummary[[#This Row],[position]]),"")</calculatedColumnFormula>
    </tableColumn>
    <tableColumn id="3" name="request_count">
      <calculatedColumnFormula>COUNTIF(tblRequests[status],tblRequestStatusSummary[[#This Row],[request_status]])</calculatedColumnFormula>
    </tableColumn>
  </tableColumns>
  <tableStyleInfo name="TableStyleLight1" showRowStripes="0" showColumnStripes="0"/>
</table>
</file>

<file path=xl/tables/table24.xml><?xml version="1.0" encoding="utf-8"?>
<table xmlns="http://schemas.openxmlformats.org/spreadsheetml/2006/main" id="24" name="tblReadinessByProject" displayName="tblReadinessByProject" ref="P4:S14" headerRowCount="1">
  <tableColumns count="4">
    <tableColumn id="1" name="position"/>
    <tableColumn id="2" name="project_id">
      <calculatedColumnFormula>IFERROR(INDEX(tblProjects[project_id],tblReadinessByProject[[#This Row],[position]])&amp;"","")</calculatedColumnFormula>
    </tableColumn>
    <tableColumn id="3" name="readiness_score">
      <calculatedColumnFormula>IF(tblReadinessByProject[[#This Row],[project_id]]="","",IFERROR(INDEX(tblReadinessSummary[overall_score],MATCH(tblReadinessByProject[[#This Row],[project_id]],tblReadinessSummary[project_id],0)),"no_assessment"))</calculatedColumnFormula>
    </tableColumn>
    <tableColumn id="4" name="evidence_warning">
      <calculatedColumnFormula>IF(tblReadinessByProject[[#This Row],[project_id]]="","",IFERROR(INDEX(tblReadinessSummary[evidence_warning],MATCH(tblReadinessByProject[[#This Row],[project_id]],tblReadinessSummary[project_id],0)),"no_assessment"))</calculatedColumnFormula>
    </tableColumn>
  </tableColumns>
  <tableStyleInfo name="TableStyleLight1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table" Target="/xl/tables/table3.xml" Id="rId2" /><Relationship Type="http://schemas.openxmlformats.org/officeDocument/2006/relationships/table" Target="/xl/tables/table4.xml" Id="rId3" /><Relationship Type="http://schemas.openxmlformats.org/officeDocument/2006/relationships/table" Target="/xl/tables/table5.xml" Id="rId4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 /><Relationship Type="http://schemas.openxmlformats.org/officeDocument/2006/relationships/table" Target="/xl/tables/table8.xml" Id="rId2" /><Relationship Type="http://schemas.openxmlformats.org/officeDocument/2006/relationships/table" Target="/xl/tables/table9.xml" Id="rId3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11.xml" Id="rId1" /><Relationship Type="http://schemas.openxmlformats.org/officeDocument/2006/relationships/table" Target="/xl/tables/table12.xml" Id="rId2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14.xml" Id="rId1" /><Relationship Type="http://schemas.openxmlformats.org/officeDocument/2006/relationships/table" Target="/xl/tables/table15.xml" Id="rId2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16.xml" Id="rId1" /><Relationship Type="http://schemas.openxmlformats.org/officeDocument/2006/relationships/table" Target="/xl/tables/table17.xml" Id="rId2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8.xml" Id="rId1" /><Relationship Type="http://schemas.openxmlformats.org/officeDocument/2006/relationships/table" Target="/xl/tables/table19.xml" Id="rId2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21.xml" Id="rId2" /><Relationship Type="http://schemas.openxmlformats.org/officeDocument/2006/relationships/table" Target="/xl/tables/table22.xml" Id="rId3" /><Relationship Type="http://schemas.openxmlformats.org/officeDocument/2006/relationships/table" Target="/xl/tables/table23.xml" Id="rId4" /><Relationship Type="http://schemas.openxmlformats.org/officeDocument/2006/relationships/table" Target="/xl/tables/table24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zoomScale="100" workbookViewId="0">
      <selection activeCell="A1" sqref="A1"/>
    </sheetView>
  </sheetViews>
  <sheetFormatPr baseColWidth="8" defaultRowHeight="15"/>
  <cols>
    <col width="100" customWidth="1" min="1" max="1"/>
    <col width="2" customWidth="1" min="2" max="2"/>
    <col width="30" customWidth="1" min="3" max="3"/>
    <col width="26" customWidth="1" min="4" max="4"/>
    <col width="10" customWidth="1" min="5" max="5"/>
    <col width="70" customWidth="1" min="6" max="6"/>
  </cols>
  <sheetData>
    <row r="1">
      <c r="A1" s="1" t="inlineStr">
        <is>
          <t>Implementation Tracker Workbook</t>
        </is>
      </c>
    </row>
    <row r="3">
      <c r="A3" s="2" t="inlineStr">
        <is>
          <t>What is this workbook?</t>
        </is>
      </c>
      <c r="C3" s="3" t="inlineStr">
        <is>
          <t>Workbook settings (edit the value column only)</t>
        </is>
      </c>
    </row>
    <row r="4" ht="28" customHeight="1">
      <c r="A4" s="4" t="inlineStr">
        <is>
          <t>A macro-free tracker that applies the R1 implementation operating model (implementation-operating-system) to day-to-day project work. It is a reference implementation of R1, not a separate method.</t>
        </is>
      </c>
      <c r="C4" s="5" t="inlineStr">
        <is>
          <t>setting_key</t>
        </is>
      </c>
      <c r="D4" s="5" t="inlineStr">
        <is>
          <t>value</t>
        </is>
      </c>
      <c r="E4" s="5" t="inlineStr">
        <is>
          <t>editable</t>
        </is>
      </c>
      <c r="F4" s="5" t="inlineStr">
        <is>
          <t>description</t>
        </is>
      </c>
    </row>
    <row r="5" ht="42" customHeight="1">
      <c r="A5" s="4" t="inlineStr">
        <is>
          <t>The bundled rows are synthetic data: three synthetic projects from R1 (Synthetic Projects A, B, and C). They are an illustrative example of the model in use, not customer data and not a record of historical use.</t>
        </is>
      </c>
      <c r="C5" s="6" t="inlineStr">
        <is>
          <t>workbook_id</t>
        </is>
      </c>
      <c r="D5" s="6" t="inlineStr">
        <is>
          <t>WBK-000001</t>
        </is>
      </c>
      <c r="E5" s="7" t="inlineStr">
        <is>
          <t>no</t>
        </is>
      </c>
      <c r="F5" s="6" t="inlineStr">
        <is>
          <t>Workbook ID (WBK). Keep it when you copy the workbook for a new team.</t>
        </is>
      </c>
    </row>
    <row r="6">
      <c r="A6" s="2" t="inlineStr">
        <is>
          <t>What does R1 own?</t>
        </is>
      </c>
      <c r="C6" s="6" t="inlineStr">
        <is>
          <t>workbook_version</t>
        </is>
      </c>
      <c r="D6" s="6" t="inlineStr">
        <is>
          <t>0.1.0</t>
        </is>
      </c>
      <c r="E6" s="7" t="inlineStr">
        <is>
          <t>no</t>
        </is>
      </c>
      <c r="F6" s="6" t="inlineStr">
        <is>
          <t>R3 workbook version.</t>
        </is>
      </c>
    </row>
    <row r="7" ht="42" customHeight="1">
      <c r="A7" s="4" t="inlineStr">
        <is>
          <t>The lifecycle and phase statuses, gate outcomes, project, task, request, handoff, risk, and issue statuses, request transitions, severity definitions, the risk formula, readiness categories and weights, SLA and lead-time parameters, and the event catalog.</t>
        </is>
      </c>
      <c r="C7" s="6" t="inlineStr">
        <is>
          <t>r1_repo</t>
        </is>
      </c>
      <c r="D7" s="6" t="inlineStr">
        <is>
          <t>implementation-operating-system</t>
        </is>
      </c>
      <c r="E7" s="7" t="inlineStr">
        <is>
          <t>no</t>
        </is>
      </c>
      <c r="F7" s="6" t="inlineStr">
        <is>
          <t>The R1 repository this workbook implements.</t>
        </is>
      </c>
    </row>
    <row r="8">
      <c r="A8" s="2" t="inlineStr">
        <is>
          <t>What does R3 (this workbook) own?</t>
        </is>
      </c>
      <c r="C8" s="6" t="inlineStr">
        <is>
          <t>r1_source_commit</t>
        </is>
      </c>
      <c r="D8" s="6" t="inlineStr">
        <is>
          <t>9acd25a4673facf2b3cca2467142987548949ce3</t>
        </is>
      </c>
      <c r="E8" s="7" t="inlineStr">
        <is>
          <t>no</t>
        </is>
      </c>
      <c r="F8" s="6" t="inlineStr">
        <is>
          <t>The pinned R1 commit. Changes only through tools/sync_r1_contracts.py and a rebuild.</t>
        </is>
      </c>
    </row>
    <row r="9" ht="28" customHeight="1">
      <c r="A9" s="4" t="inlineStr">
        <is>
          <t>Workbook structure, the formulas that implement R1 rules, check columns, imports and exports, workbook metadata, and the Capacity Inputs export format.</t>
        </is>
      </c>
      <c r="C9" s="6" t="inlineStr">
        <is>
          <t>shared_standard_version</t>
        </is>
      </c>
      <c r="D9" s="6" t="inlineStr">
        <is>
          <t>1.0.0</t>
        </is>
      </c>
      <c r="E9" s="7" t="inlineStr">
        <is>
          <t>no</t>
        </is>
      </c>
      <c r="F9" s="6" t="inlineStr">
        <is>
          <t>Shared standard version pinned through R1.</t>
        </is>
      </c>
    </row>
    <row r="10">
      <c r="A10" s="2" t="inlineStr">
        <is>
          <t>Which R1 version is pinned?</t>
        </is>
      </c>
      <c r="C10" s="6" t="inlineStr">
        <is>
          <t>calculation_as_of_at</t>
        </is>
      </c>
      <c r="D10" s="8" t="inlineStr">
        <is>
          <t>2026-10-05T23:59:59Z</t>
        </is>
      </c>
      <c r="E10" s="7" t="inlineStr">
        <is>
          <t>yes</t>
        </is>
      </c>
      <c r="F10" s="6" t="inlineStr">
        <is>
          <t>Evaluation time (ISO 8601 UTC, ending in Z) for due states and escalation states. A user-configurable parameter. No formula reads the clock.</t>
        </is>
      </c>
    </row>
    <row r="11" ht="28" customHeight="1">
      <c r="A11" s="4" t="inlineStr">
        <is>
          <t>R1 commit 9acd25a4673facf2b3cca2467142987548949ce3 (repository version 0.1.0), shared standard 1.0.0. See standard/standard-reference.yaml.</t>
        </is>
      </c>
      <c r="C11" s="6" t="inlineStr">
        <is>
          <t>event_reconciliation_from_at</t>
        </is>
      </c>
      <c r="D11" s="8" t="inlineStr">
        <is>
          <t>2026-09-01T00:00:00Z</t>
        </is>
      </c>
      <c r="E11" s="7" t="inlineStr">
        <is>
          <t>yes</t>
        </is>
      </c>
      <c r="F11" s="6" t="inlineStr">
        <is>
          <t>Material changes at or after this time need an Event Log row. A user-configurable parameter.</t>
        </is>
      </c>
    </row>
    <row r="12">
      <c r="A12" s="2" t="inlineStr">
        <is>
          <t>What organization stage is selected?</t>
        </is>
      </c>
      <c r="C12" s="6" t="inlineStr">
        <is>
          <t>selected_org_stage</t>
        </is>
      </c>
      <c r="D12" s="8" t="inlineStr">
        <is>
          <t>startup</t>
        </is>
      </c>
      <c r="E12" s="7" t="inlineStr">
        <is>
          <t>yes</t>
        </is>
      </c>
      <c r="F12" s="6" t="inlineStr">
        <is>
          <t>Organization stage from R1 (startup, early_scale, structured_growth, mature). See config/stage-requirements.yaml.</t>
        </is>
      </c>
    </row>
    <row r="13" ht="42" customHeight="1">
      <c r="A13" s="4" t="inlineStr">
        <is>
          <t>The value selected_org_stage in the settings table. It sets which fields and controls config/stage-requirements.yaml treats as required, recommended, or optional. It never changes IDs, the event contract, readiness categories, or human gate authority.</t>
        </is>
      </c>
      <c r="C13" s="6" t="inlineStr">
        <is>
          <t>operating_mode</t>
        </is>
      </c>
      <c r="D13" s="8" t="inlineStr">
        <is>
          <t>starter</t>
        </is>
      </c>
      <c r="E13" s="7" t="inlineStr">
        <is>
          <t>yes</t>
        </is>
      </c>
      <c r="F13" s="6" t="inlineStr">
        <is>
          <t>starter or full. Same workbook, same model; Starter Mode only reduces what you update each week.</t>
        </is>
      </c>
    </row>
    <row r="14">
      <c r="A14" s="2" t="inlineStr">
        <is>
          <t>What is calculation_as_of_at?</t>
        </is>
      </c>
      <c r="C14" s="6" t="inlineStr">
        <is>
          <t>generated_at</t>
        </is>
      </c>
      <c r="D14" s="6" t="inlineStr">
        <is>
          <t>2026-10-06T23:21:51Z</t>
        </is>
      </c>
      <c r="E14" s="7" t="inlineStr">
        <is>
          <t>no</t>
        </is>
      </c>
      <c r="F14" s="6" t="inlineStr">
        <is>
          <t>When this file was generated (the pinned R1 synchronization time, so builds are reproducible).</t>
        </is>
      </c>
    </row>
    <row r="15" ht="42" customHeight="1">
      <c r="A15" s="4" t="inlineStr">
        <is>
          <t>The evaluation time for every due-state and escalation formula, in ISO 8601 UTC (for example 2026-10-05T23:59:59Z). It is a user-configurable parameter. No formula reads the computer clock, so the same inputs always give the same results.</t>
        </is>
      </c>
    </row>
    <row r="16">
      <c r="A16" s="2" t="inlineStr">
        <is>
          <t>How do I use Starter Mode?</t>
        </is>
      </c>
    </row>
    <row r="17" ht="42" customHeight="1">
      <c r="A17" s="4" t="inlineStr">
        <is>
          <t>Set operating_mode to starter. Each week update Projects, Tasks, Risks and Issues, and Requests and Handoffs; review Readiness when a launch approaches; add Event Log rows only for material changes; then read KPI Summary. See docs/starter-mode.md.</t>
        </is>
      </c>
    </row>
    <row r="18">
      <c r="A18" s="2" t="inlineStr">
        <is>
          <t>How do I use Full Mode?</t>
        </is>
      </c>
    </row>
    <row r="19" ht="28" customHeight="1">
      <c r="A19" s="4" t="inlineStr">
        <is>
          <t>Set operating_mode to full. Use all 12 tabs: complete gate evidence, capacity exports, and full event reconciliation. Same workbook, same IDs, same R1 rules. See docs/workbook-guide.md.</t>
        </is>
      </c>
    </row>
    <row r="20">
      <c r="A20" s="2" t="inlineStr">
        <is>
          <t>Which cells do I edit?</t>
        </is>
      </c>
    </row>
    <row r="21" ht="28" customHeight="1">
      <c r="A21" s="4" t="inlineStr">
        <is>
          <t>White cells with dark blue headers: record fields on the record tabs, and the value column of the settings table below. Use the drop-down lists; they come from R1.</t>
        </is>
      </c>
    </row>
    <row r="22">
      <c r="A22" s="2" t="inlineStr">
        <is>
          <t>Which cells contain formulas?</t>
        </is>
      </c>
    </row>
    <row r="23" ht="28" customHeight="1">
      <c r="A23" s="4" t="inlineStr">
        <is>
          <t>Grey cells with grey headers. They reproduce R1 rules or check your records. Do not type over them. Green-headed tables are read-only mirrors of R1 configuration.</t>
        </is>
      </c>
    </row>
    <row r="24">
      <c r="A24" s="2" t="inlineStr">
        <is>
          <t>How do I export data?</t>
        </is>
      </c>
    </row>
    <row r="25" ht="28" customHeight="1">
      <c r="A25" s="4" t="inlineStr">
        <is>
          <t>Run python tools/build_workbook.py --exports, or save each table as CSV using the column list in config/export-map.yaml. Helper columns never enter authoritative exports. See docs/export-model.md.</t>
        </is>
      </c>
    </row>
    <row r="26">
      <c r="A26" s="2" t="inlineStr">
        <is>
          <t>How do I maintain the Event Log?</t>
        </is>
      </c>
    </row>
    <row r="27" ht="42" customHeight="1">
      <c r="A27" s="4" t="inlineStr">
        <is>
          <t>After a material change (a new project, a phase move, a gate outcome, a status change, a new risk or issue), append one Event Log row using config/event-mappings.yaml, or import rows. The event_evidence columns show which changes still need a row. See docs/event-capture-model.md.</t>
        </is>
      </c>
    </row>
    <row r="28">
      <c r="A28" s="2" t="inlineStr">
        <is>
          <t>What does the workbook intentionally not automate?</t>
        </is>
      </c>
    </row>
    <row r="29" ht="28" customHeight="1">
      <c r="A29" s="4" t="inlineStr">
        <is>
          <t>It does not append events, decide gates or launches, change statuses, read the clock, calculate capacity or staffing, or use AI. A named person makes every decision.</t>
        </is>
      </c>
    </row>
    <row r="31">
      <c r="A31" s="9" t="inlineStr">
        <is>
          <t>Legend: dark blue header = you edit; grey header and grey cells = formula; green header = read-only mirror of R1.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dataValidations count="2">
    <dataValidation sqref="D12:D1012" showDropDown="0" showInputMessage="0" showErrorMessage="1" allowBlank="1" errorTitle="Value not in R1 list" error="Choose a value from the R1 org_stage list (Lookups tab)." type="list" errorStyle="stop">
      <formula1>=lst_org_stage</formula1>
    </dataValidation>
    <dataValidation sqref="D13:D1013" showDropDown="0" showInputMessage="0" showErrorMessage="1" allowBlank="1" errorTitle="Value not in R1 list" error="Choose a value from the R1 operating_mode list (Lookups tab)." type="list" errorStyle="stop">
      <formula1>=lst_operating_mode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3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6" customWidth="1" min="3" max="3"/>
    <col width="30" customWidth="1" min="4" max="4"/>
    <col width="28" customWidth="1" min="5" max="5"/>
    <col width="36" customWidth="1" min="6" max="6"/>
    <col width="12" customWidth="1" min="7" max="7"/>
    <col width="10" customWidth="1" min="8" max="8"/>
    <col width="14" customWidth="1" min="10" max="10"/>
    <col width="8" customWidth="1" min="11" max="11"/>
    <col width="60" customWidth="1" min="12" max="12"/>
    <col width="32" customWidth="1" min="13" max="13"/>
    <col width="10" customWidth="1" min="15" max="15"/>
    <col width="10" customWidth="1" min="16" max="16"/>
    <col width="10" customWidth="1" min="17" max="17"/>
    <col width="9" customWidth="1" min="18" max="18"/>
    <col width="26" customWidth="1" min="19" max="19"/>
    <col width="30" customWidth="1" min="21" max="21"/>
    <col width="10" customWidth="1" min="22" max="22"/>
    <col width="46" customWidth="1" min="23" max="23"/>
  </cols>
  <sheetData>
    <row r="1">
      <c r="A1" s="1" t="inlineStr">
        <is>
          <t>Lookups</t>
        </is>
      </c>
    </row>
    <row r="2">
      <c r="A2" s="9" t="inlineStr">
        <is>
          <t>Every list is synchronized from the pinned R1 version (source columns show the file). Read-only; change R1, then re-sync and rebuild.</t>
        </is>
      </c>
    </row>
    <row r="3">
      <c r="A3" s="3" t="inlineStr">
        <is>
          <t>Lookup entries (synchronized from pinned R1; read-only)</t>
        </is>
      </c>
      <c r="J3" s="3" t="inlineStr">
        <is>
          <t>Readiness weights (mirror of R1 config/readiness-weights.yaml)</t>
        </is>
      </c>
      <c r="O3" s="3" t="inlineStr">
        <is>
          <t>Risk bands (mirror of R1 config/risk-rules.yaml)</t>
        </is>
      </c>
      <c r="U3" s="3" t="inlineStr">
        <is>
          <t>Rule parameters (mirror of R1 configuration)</t>
        </is>
      </c>
    </row>
    <row r="4">
      <c r="A4" s="10" t="inlineStr">
        <is>
          <t>lookup_entry_id</t>
        </is>
      </c>
      <c r="B4" s="10" t="inlineStr">
        <is>
          <t>lookup_type</t>
        </is>
      </c>
      <c r="C4" s="10" t="inlineStr">
        <is>
          <t>key</t>
        </is>
      </c>
      <c r="D4" s="10" t="inlineStr">
        <is>
          <t>display_value</t>
        </is>
      </c>
      <c r="E4" s="10" t="inlineStr">
        <is>
          <t>source_repo</t>
        </is>
      </c>
      <c r="F4" s="10" t="inlineStr">
        <is>
          <t>source_path</t>
        </is>
      </c>
      <c r="G4" s="10" t="inlineStr">
        <is>
          <t>source_version</t>
        </is>
      </c>
      <c r="H4" s="10" t="inlineStr">
        <is>
          <t>active_flag</t>
        </is>
      </c>
      <c r="J4" s="10" t="inlineStr">
        <is>
          <t>category</t>
        </is>
      </c>
      <c r="K4" s="10" t="inlineStr">
        <is>
          <t>weight</t>
        </is>
      </c>
      <c r="L4" s="10" t="inlineStr">
        <is>
          <t>required_evidence</t>
        </is>
      </c>
      <c r="M4" s="10" t="inlineStr">
        <is>
          <t>source_path</t>
        </is>
      </c>
      <c r="O4" s="10" t="inlineStr">
        <is>
          <t>band</t>
        </is>
      </c>
      <c r="P4" s="10" t="inlineStr">
        <is>
          <t>min_score</t>
        </is>
      </c>
      <c r="Q4" s="10" t="inlineStr">
        <is>
          <t>max_score</t>
        </is>
      </c>
      <c r="R4" s="10" t="inlineStr">
        <is>
          <t>severity</t>
        </is>
      </c>
      <c r="S4" s="10" t="inlineStr">
        <is>
          <t>source_path</t>
        </is>
      </c>
      <c r="U4" s="10" t="inlineStr">
        <is>
          <t>parameter</t>
        </is>
      </c>
      <c r="V4" s="10" t="inlineStr">
        <is>
          <t>value</t>
        </is>
      </c>
      <c r="W4" s="10" t="inlineStr">
        <is>
          <t>source_path</t>
        </is>
      </c>
    </row>
    <row r="5">
      <c r="A5" s="11" t="inlineStr">
        <is>
          <t>LKP-000001</t>
        </is>
      </c>
      <c r="B5" s="11" t="inlineStr">
        <is>
          <t>phase_key</t>
        </is>
      </c>
      <c r="C5" s="12" t="inlineStr">
        <is>
          <t>initiate</t>
        </is>
      </c>
      <c r="D5" s="12" t="inlineStr">
        <is>
          <t>Initiate</t>
        </is>
      </c>
      <c r="E5" s="11" t="inlineStr">
        <is>
          <t>implementation-operating-system</t>
        </is>
      </c>
      <c r="F5" s="11" t="inlineStr">
        <is>
          <t>standard/lifecycle-terms.yaml</t>
        </is>
      </c>
      <c r="G5" s="12" t="inlineStr">
        <is>
          <t>9acd25a</t>
        </is>
      </c>
      <c r="H5" s="11" t="b">
        <v>1</v>
      </c>
      <c r="J5" s="11" t="inlineStr">
        <is>
          <t>people</t>
        </is>
      </c>
      <c r="K5" s="11" t="n">
        <v>15</v>
      </c>
      <c r="L5" s="11" t="inlineStr">
        <is>
          <t>Named owners exist for every launch role, and the sponsor has confirmed availability for launch week.</t>
        </is>
      </c>
      <c r="M5" s="11" t="inlineStr">
        <is>
          <t>config/readiness-weights.yaml</t>
        </is>
      </c>
      <c r="O5" s="11" t="inlineStr">
        <is>
          <t>low</t>
        </is>
      </c>
      <c r="P5" s="11" t="n">
        <v>1</v>
      </c>
      <c r="Q5" s="11" t="n">
        <v>4</v>
      </c>
      <c r="R5" s="11" t="inlineStr">
        <is>
          <t>sev4</t>
        </is>
      </c>
      <c r="S5" s="11" t="inlineStr">
        <is>
          <t>config/risk-rules.yaml</t>
        </is>
      </c>
      <c r="U5" s="11" t="inlineStr">
        <is>
          <t>risk_likelihood_min</t>
        </is>
      </c>
      <c r="V5" s="12" t="n">
        <v>1</v>
      </c>
      <c r="W5" s="11" t="inlineStr">
        <is>
          <t>config/risk-rules.yaml likelihood_values.min</t>
        </is>
      </c>
    </row>
    <row r="6">
      <c r="A6" s="11" t="inlineStr">
        <is>
          <t>LKP-000002</t>
        </is>
      </c>
      <c r="B6" s="11" t="inlineStr">
        <is>
          <t>phase_key</t>
        </is>
      </c>
      <c r="C6" s="12" t="inlineStr">
        <is>
          <t>discover</t>
        </is>
      </c>
      <c r="D6" s="12" t="inlineStr">
        <is>
          <t>Discover</t>
        </is>
      </c>
      <c r="E6" s="11" t="inlineStr">
        <is>
          <t>implementation-operating-system</t>
        </is>
      </c>
      <c r="F6" s="11" t="inlineStr">
        <is>
          <t>standard/lifecycle-terms.yaml</t>
        </is>
      </c>
      <c r="G6" s="12" t="inlineStr">
        <is>
          <t>9acd25a</t>
        </is>
      </c>
      <c r="H6" s="11" t="b">
        <v>1</v>
      </c>
      <c r="J6" s="11" t="inlineStr">
        <is>
          <t>process</t>
        </is>
      </c>
      <c r="K6" s="11" t="n">
        <v>15</v>
      </c>
      <c r="L6" s="11" t="inlineStr">
        <is>
          <t>The new ways of working are documented and the sponsor has approved them.</t>
        </is>
      </c>
      <c r="M6" s="11" t="inlineStr">
        <is>
          <t>config/readiness-weights.yaml</t>
        </is>
      </c>
      <c r="O6" s="11" t="inlineStr">
        <is>
          <t>moderate</t>
        </is>
      </c>
      <c r="P6" s="11" t="n">
        <v>5</v>
      </c>
      <c r="Q6" s="11" t="n">
        <v>9</v>
      </c>
      <c r="R6" s="11" t="inlineStr">
        <is>
          <t>sev3</t>
        </is>
      </c>
      <c r="S6" s="11" t="inlineStr">
        <is>
          <t>config/risk-rules.yaml</t>
        </is>
      </c>
      <c r="U6" s="11" t="inlineStr">
        <is>
          <t>risk_likelihood_max</t>
        </is>
      </c>
      <c r="V6" s="12" t="n">
        <v>5</v>
      </c>
      <c r="W6" s="11" t="inlineStr">
        <is>
          <t>config/risk-rules.yaml likelihood_values.max</t>
        </is>
      </c>
    </row>
    <row r="7">
      <c r="A7" s="11" t="inlineStr">
        <is>
          <t>LKP-000003</t>
        </is>
      </c>
      <c r="B7" s="11" t="inlineStr">
        <is>
          <t>phase_key</t>
        </is>
      </c>
      <c r="C7" s="12" t="inlineStr">
        <is>
          <t>design</t>
        </is>
      </c>
      <c r="D7" s="12" t="inlineStr">
        <is>
          <t>Design</t>
        </is>
      </c>
      <c r="E7" s="11" t="inlineStr">
        <is>
          <t>implementation-operating-system</t>
        </is>
      </c>
      <c r="F7" s="11" t="inlineStr">
        <is>
          <t>standard/lifecycle-terms.yaml</t>
        </is>
      </c>
      <c r="G7" s="12" t="inlineStr">
        <is>
          <t>9acd25a</t>
        </is>
      </c>
      <c r="H7" s="11" t="b">
        <v>1</v>
      </c>
      <c r="J7" s="11" t="inlineStr">
        <is>
          <t>technology</t>
        </is>
      </c>
      <c r="K7" s="11" t="n">
        <v>25</v>
      </c>
      <c r="L7" s="11" t="inlineStr">
        <is>
          <t>Acceptance is signed off and every integration has a passing end-to-end test.</t>
        </is>
      </c>
      <c r="M7" s="11" t="inlineStr">
        <is>
          <t>config/readiness-weights.yaml</t>
        </is>
      </c>
      <c r="O7" s="11" t="inlineStr">
        <is>
          <t>high</t>
        </is>
      </c>
      <c r="P7" s="11" t="n">
        <v>10</v>
      </c>
      <c r="Q7" s="11" t="n">
        <v>15</v>
      </c>
      <c r="R7" s="11" t="inlineStr">
        <is>
          <t>sev2</t>
        </is>
      </c>
      <c r="S7" s="11" t="inlineStr">
        <is>
          <t>config/risk-rules.yaml</t>
        </is>
      </c>
      <c r="U7" s="11" t="inlineStr">
        <is>
          <t>risk_impact_min</t>
        </is>
      </c>
      <c r="V7" s="12" t="n">
        <v>1</v>
      </c>
      <c r="W7" s="11" t="inlineStr">
        <is>
          <t>config/risk-rules.yaml impact_values.min</t>
        </is>
      </c>
    </row>
    <row r="8">
      <c r="A8" s="11" t="inlineStr">
        <is>
          <t>LKP-000004</t>
        </is>
      </c>
      <c r="B8" s="11" t="inlineStr">
        <is>
          <t>phase_key</t>
        </is>
      </c>
      <c r="C8" s="12" t="inlineStr">
        <is>
          <t>build</t>
        </is>
      </c>
      <c r="D8" s="12" t="inlineStr">
        <is>
          <t>Build</t>
        </is>
      </c>
      <c r="E8" s="11" t="inlineStr">
        <is>
          <t>implementation-operating-system</t>
        </is>
      </c>
      <c r="F8" s="11" t="inlineStr">
        <is>
          <t>standard/lifecycle-terms.yaml</t>
        </is>
      </c>
      <c r="G8" s="12" t="inlineStr">
        <is>
          <t>9acd25a</t>
        </is>
      </c>
      <c r="H8" s="11" t="b">
        <v>1</v>
      </c>
      <c r="J8" s="11" t="inlineStr">
        <is>
          <t>data</t>
        </is>
      </c>
      <c r="K8" s="11" t="n">
        <v>20</v>
      </c>
      <c r="L8" s="11" t="inlineStr">
        <is>
          <t>The final data load plan is approved and a trial load has been checked.</t>
        </is>
      </c>
      <c r="M8" s="11" t="inlineStr">
        <is>
          <t>config/readiness-weights.yaml</t>
        </is>
      </c>
      <c r="O8" s="11" t="inlineStr">
        <is>
          <t>critical</t>
        </is>
      </c>
      <c r="P8" s="11" t="n">
        <v>16</v>
      </c>
      <c r="Q8" s="11" t="n">
        <v>25</v>
      </c>
      <c r="R8" s="11" t="inlineStr">
        <is>
          <t>sev1</t>
        </is>
      </c>
      <c r="S8" s="11" t="inlineStr">
        <is>
          <t>config/risk-rules.yaml</t>
        </is>
      </c>
      <c r="U8" s="11" t="inlineStr">
        <is>
          <t>risk_impact_max</t>
        </is>
      </c>
      <c r="V8" s="12" t="n">
        <v>5</v>
      </c>
      <c r="W8" s="11" t="inlineStr">
        <is>
          <t>config/risk-rules.yaml impact_values.max</t>
        </is>
      </c>
    </row>
    <row r="9">
      <c r="A9" s="11" t="inlineStr">
        <is>
          <t>LKP-000005</t>
        </is>
      </c>
      <c r="B9" s="11" t="inlineStr">
        <is>
          <t>phase_key</t>
        </is>
      </c>
      <c r="C9" s="12" t="inlineStr">
        <is>
          <t>validate</t>
        </is>
      </c>
      <c r="D9" s="12" t="inlineStr">
        <is>
          <t>Validate</t>
        </is>
      </c>
      <c r="E9" s="11" t="inlineStr">
        <is>
          <t>implementation-operating-system</t>
        </is>
      </c>
      <c r="F9" s="11" t="inlineStr">
        <is>
          <t>standard/lifecycle-terms.yaml</t>
        </is>
      </c>
      <c r="G9" s="12" t="inlineStr">
        <is>
          <t>9acd25a</t>
        </is>
      </c>
      <c r="H9" s="11" t="b">
        <v>1</v>
      </c>
      <c r="J9" s="11" t="inlineStr">
        <is>
          <t>training</t>
        </is>
      </c>
      <c r="K9" s="11" t="n">
        <v>15</v>
      </c>
      <c r="L9" s="11" t="inlineStr">
        <is>
          <t>Training completion is recorded for every user group in the training plan.</t>
        </is>
      </c>
      <c r="M9" s="11" t="inlineStr">
        <is>
          <t>config/readiness-weights.yaml</t>
        </is>
      </c>
      <c r="U9" s="11" t="inlineStr">
        <is>
          <t>readiness_total_weight</t>
        </is>
      </c>
      <c r="V9" s="12" t="n">
        <v>100</v>
      </c>
      <c r="W9" s="11" t="inlineStr">
        <is>
          <t>config/readiness-weights.yaml total_weight</t>
        </is>
      </c>
    </row>
    <row r="10">
      <c r="A10" s="11" t="inlineStr">
        <is>
          <t>LKP-000006</t>
        </is>
      </c>
      <c r="B10" s="11" t="inlineStr">
        <is>
          <t>phase_key</t>
        </is>
      </c>
      <c r="C10" s="12" t="inlineStr">
        <is>
          <t>enable</t>
        </is>
      </c>
      <c r="D10" s="12" t="inlineStr">
        <is>
          <t>Enable</t>
        </is>
      </c>
      <c r="E10" s="11" t="inlineStr">
        <is>
          <t>implementation-operating-system</t>
        </is>
      </c>
      <c r="F10" s="11" t="inlineStr">
        <is>
          <t>standard/lifecycle-terms.yaml</t>
        </is>
      </c>
      <c r="G10" s="12" t="inlineStr">
        <is>
          <t>9acd25a</t>
        </is>
      </c>
      <c r="H10" s="11" t="b">
        <v>1</v>
      </c>
      <c r="J10" s="11" t="inlineStr">
        <is>
          <t>support</t>
        </is>
      </c>
      <c r="K10" s="11" t="n">
        <v>10</v>
      </c>
      <c r="L10" s="11" t="inlineStr">
        <is>
          <t>The support runbook is published and launch-week support coverage is confirmed.</t>
        </is>
      </c>
      <c r="M10" s="11" t="inlineStr">
        <is>
          <t>config/readiness-weights.yaml</t>
        </is>
      </c>
      <c r="U10" s="11" t="inlineStr">
        <is>
          <t>readiness_calculation_version</t>
        </is>
      </c>
      <c r="V10" s="12" t="inlineStr">
        <is>
          <t>1.0.0</t>
        </is>
      </c>
      <c r="W10" s="11" t="inlineStr">
        <is>
          <t>config/readiness-weights.yaml calculation_version</t>
        </is>
      </c>
    </row>
    <row r="11">
      <c r="A11" s="11" t="inlineStr">
        <is>
          <t>LKP-000007</t>
        </is>
      </c>
      <c r="B11" s="11" t="inlineStr">
        <is>
          <t>phase_key</t>
        </is>
      </c>
      <c r="C11" s="12" t="inlineStr">
        <is>
          <t>launch</t>
        </is>
      </c>
      <c r="D11" s="12" t="inlineStr">
        <is>
          <t>Launch</t>
        </is>
      </c>
      <c r="E11" s="11" t="inlineStr">
        <is>
          <t>implementation-operating-system</t>
        </is>
      </c>
      <c r="F11" s="11" t="inlineStr">
        <is>
          <t>standard/lifecycle-terms.yaml</t>
        </is>
      </c>
      <c r="G11" s="12" t="inlineStr">
        <is>
          <t>9acd25a</t>
        </is>
      </c>
      <c r="H11" s="11" t="b">
        <v>1</v>
      </c>
    </row>
    <row r="12">
      <c r="A12" s="11" t="inlineStr">
        <is>
          <t>LKP-000008</t>
        </is>
      </c>
      <c r="B12" s="11" t="inlineStr">
        <is>
          <t>phase_key</t>
        </is>
      </c>
      <c r="C12" s="12" t="inlineStr">
        <is>
          <t>stabilize</t>
        </is>
      </c>
      <c r="D12" s="12" t="inlineStr">
        <is>
          <t>Stabilize</t>
        </is>
      </c>
      <c r="E12" s="11" t="inlineStr">
        <is>
          <t>implementation-operating-system</t>
        </is>
      </c>
      <c r="F12" s="11" t="inlineStr">
        <is>
          <t>standard/lifecycle-terms.yaml</t>
        </is>
      </c>
      <c r="G12" s="12" t="inlineStr">
        <is>
          <t>9acd25a</t>
        </is>
      </c>
      <c r="H12" s="11" t="b">
        <v>1</v>
      </c>
    </row>
    <row r="13">
      <c r="A13" s="11" t="inlineStr">
        <is>
          <t>LKP-000009</t>
        </is>
      </c>
      <c r="B13" s="11" t="inlineStr">
        <is>
          <t>phase_key</t>
        </is>
      </c>
      <c r="C13" s="12" t="inlineStr">
        <is>
          <t>transition</t>
        </is>
      </c>
      <c r="D13" s="12" t="inlineStr">
        <is>
          <t>Transition</t>
        </is>
      </c>
      <c r="E13" s="11" t="inlineStr">
        <is>
          <t>implementation-operating-system</t>
        </is>
      </c>
      <c r="F13" s="11" t="inlineStr">
        <is>
          <t>standard/lifecycle-terms.yaml</t>
        </is>
      </c>
      <c r="G13" s="12" t="inlineStr">
        <is>
          <t>9acd25a</t>
        </is>
      </c>
      <c r="H13" s="11" t="b">
        <v>1</v>
      </c>
    </row>
    <row r="14">
      <c r="A14" s="11" t="inlineStr">
        <is>
          <t>LKP-000010</t>
        </is>
      </c>
      <c r="B14" s="11" t="inlineStr">
        <is>
          <t>phase_key</t>
        </is>
      </c>
      <c r="C14" s="12" t="inlineStr">
        <is>
          <t>review</t>
        </is>
      </c>
      <c r="D14" s="12" t="inlineStr">
        <is>
          <t>Review</t>
        </is>
      </c>
      <c r="E14" s="11" t="inlineStr">
        <is>
          <t>implementation-operating-system</t>
        </is>
      </c>
      <c r="F14" s="11" t="inlineStr">
        <is>
          <t>standard/lifecycle-terms.yaml</t>
        </is>
      </c>
      <c r="G14" s="12" t="inlineStr">
        <is>
          <t>9acd25a</t>
        </is>
      </c>
      <c r="H14" s="11" t="b">
        <v>1</v>
      </c>
    </row>
    <row r="15">
      <c r="A15" s="11" t="inlineStr">
        <is>
          <t>LKP-000011</t>
        </is>
      </c>
      <c r="B15" s="11" t="inlineStr">
        <is>
          <t>phase_status</t>
        </is>
      </c>
      <c r="C15" s="12" t="inlineStr">
        <is>
          <t>not_started</t>
        </is>
      </c>
      <c r="D15" s="12" t="inlineStr">
        <is>
          <t>not_started</t>
        </is>
      </c>
      <c r="E15" s="11" t="inlineStr">
        <is>
          <t>implementation-operating-system</t>
        </is>
      </c>
      <c r="F15" s="11" t="inlineStr">
        <is>
          <t>standard/lifecycle-terms.yaml</t>
        </is>
      </c>
      <c r="G15" s="12" t="inlineStr">
        <is>
          <t>9acd25a</t>
        </is>
      </c>
      <c r="H15" s="11" t="b">
        <v>1</v>
      </c>
    </row>
    <row r="16">
      <c r="A16" s="11" t="inlineStr">
        <is>
          <t>LKP-000012</t>
        </is>
      </c>
      <c r="B16" s="11" t="inlineStr">
        <is>
          <t>phase_status</t>
        </is>
      </c>
      <c r="C16" s="12" t="inlineStr">
        <is>
          <t>active</t>
        </is>
      </c>
      <c r="D16" s="12" t="inlineStr">
        <is>
          <t>active</t>
        </is>
      </c>
      <c r="E16" s="11" t="inlineStr">
        <is>
          <t>implementation-operating-system</t>
        </is>
      </c>
      <c r="F16" s="11" t="inlineStr">
        <is>
          <t>standard/lifecycle-terms.yaml</t>
        </is>
      </c>
      <c r="G16" s="12" t="inlineStr">
        <is>
          <t>9acd25a</t>
        </is>
      </c>
      <c r="H16" s="11" t="b">
        <v>1</v>
      </c>
    </row>
    <row r="17">
      <c r="A17" s="11" t="inlineStr">
        <is>
          <t>LKP-000013</t>
        </is>
      </c>
      <c r="B17" s="11" t="inlineStr">
        <is>
          <t>phase_status</t>
        </is>
      </c>
      <c r="C17" s="12" t="inlineStr">
        <is>
          <t>awaiting_gate</t>
        </is>
      </c>
      <c r="D17" s="12" t="inlineStr">
        <is>
          <t>awaiting_gate</t>
        </is>
      </c>
      <c r="E17" s="11" t="inlineStr">
        <is>
          <t>implementation-operating-system</t>
        </is>
      </c>
      <c r="F17" s="11" t="inlineStr">
        <is>
          <t>standard/lifecycle-terms.yaml</t>
        </is>
      </c>
      <c r="G17" s="12" t="inlineStr">
        <is>
          <t>9acd25a</t>
        </is>
      </c>
      <c r="H17" s="11" t="b">
        <v>1</v>
      </c>
    </row>
    <row r="18">
      <c r="A18" s="11" t="inlineStr">
        <is>
          <t>LKP-000014</t>
        </is>
      </c>
      <c r="B18" s="11" t="inlineStr">
        <is>
          <t>phase_status</t>
        </is>
      </c>
      <c r="C18" s="12" t="inlineStr">
        <is>
          <t>completed</t>
        </is>
      </c>
      <c r="D18" s="12" t="inlineStr">
        <is>
          <t>completed</t>
        </is>
      </c>
      <c r="E18" s="11" t="inlineStr">
        <is>
          <t>implementation-operating-system</t>
        </is>
      </c>
      <c r="F18" s="11" t="inlineStr">
        <is>
          <t>standard/lifecycle-terms.yaml</t>
        </is>
      </c>
      <c r="G18" s="12" t="inlineStr">
        <is>
          <t>9acd25a</t>
        </is>
      </c>
      <c r="H18" s="11" t="b">
        <v>1</v>
      </c>
    </row>
    <row r="19">
      <c r="A19" s="11" t="inlineStr">
        <is>
          <t>LKP-000015</t>
        </is>
      </c>
      <c r="B19" s="11" t="inlineStr">
        <is>
          <t>phase_status</t>
        </is>
      </c>
      <c r="C19" s="12" t="inlineStr">
        <is>
          <t>blocked</t>
        </is>
      </c>
      <c r="D19" s="12" t="inlineStr">
        <is>
          <t>blocked</t>
        </is>
      </c>
      <c r="E19" s="11" t="inlineStr">
        <is>
          <t>implementation-operating-system</t>
        </is>
      </c>
      <c r="F19" s="11" t="inlineStr">
        <is>
          <t>standard/lifecycle-terms.yaml</t>
        </is>
      </c>
      <c r="G19" s="12" t="inlineStr">
        <is>
          <t>9acd25a</t>
        </is>
      </c>
      <c r="H19" s="11" t="b">
        <v>1</v>
      </c>
    </row>
    <row r="20">
      <c r="A20" s="11" t="inlineStr">
        <is>
          <t>LKP-000016</t>
        </is>
      </c>
      <c r="B20" s="11" t="inlineStr">
        <is>
          <t>gate_outcome</t>
        </is>
      </c>
      <c r="C20" s="12" t="inlineStr">
        <is>
          <t>pass</t>
        </is>
      </c>
      <c r="D20" s="12" t="inlineStr">
        <is>
          <t>pass</t>
        </is>
      </c>
      <c r="E20" s="11" t="inlineStr">
        <is>
          <t>implementation-operating-system</t>
        </is>
      </c>
      <c r="F20" s="11" t="inlineStr">
        <is>
          <t>standard/lifecycle-terms.yaml</t>
        </is>
      </c>
      <c r="G20" s="12" t="inlineStr">
        <is>
          <t>9acd25a</t>
        </is>
      </c>
      <c r="H20" s="11" t="b">
        <v>1</v>
      </c>
    </row>
    <row r="21">
      <c r="A21" s="11" t="inlineStr">
        <is>
          <t>LKP-000017</t>
        </is>
      </c>
      <c r="B21" s="11" t="inlineStr">
        <is>
          <t>gate_outcome</t>
        </is>
      </c>
      <c r="C21" s="12" t="inlineStr">
        <is>
          <t>pass_with_conditions</t>
        </is>
      </c>
      <c r="D21" s="12" t="inlineStr">
        <is>
          <t>pass_with_conditions</t>
        </is>
      </c>
      <c r="E21" s="11" t="inlineStr">
        <is>
          <t>implementation-operating-system</t>
        </is>
      </c>
      <c r="F21" s="11" t="inlineStr">
        <is>
          <t>standard/lifecycle-terms.yaml</t>
        </is>
      </c>
      <c r="G21" s="12" t="inlineStr">
        <is>
          <t>9acd25a</t>
        </is>
      </c>
      <c r="H21" s="11" t="b">
        <v>1</v>
      </c>
    </row>
    <row r="22">
      <c r="A22" s="11" t="inlineStr">
        <is>
          <t>LKP-000018</t>
        </is>
      </c>
      <c r="B22" s="11" t="inlineStr">
        <is>
          <t>gate_outcome</t>
        </is>
      </c>
      <c r="C22" s="12" t="inlineStr">
        <is>
          <t>hold</t>
        </is>
      </c>
      <c r="D22" s="12" t="inlineStr">
        <is>
          <t>hold</t>
        </is>
      </c>
      <c r="E22" s="11" t="inlineStr">
        <is>
          <t>implementation-operating-system</t>
        </is>
      </c>
      <c r="F22" s="11" t="inlineStr">
        <is>
          <t>standard/lifecycle-terms.yaml</t>
        </is>
      </c>
      <c r="G22" s="12" t="inlineStr">
        <is>
          <t>9acd25a</t>
        </is>
      </c>
      <c r="H22" s="11" t="b">
        <v>1</v>
      </c>
    </row>
    <row r="23">
      <c r="A23" s="11" t="inlineStr">
        <is>
          <t>LKP-000019</t>
        </is>
      </c>
      <c r="B23" s="11" t="inlineStr">
        <is>
          <t>gate_id</t>
        </is>
      </c>
      <c r="C23" s="12" t="inlineStr">
        <is>
          <t>initiate_gate</t>
        </is>
      </c>
      <c r="D23" s="12" t="inlineStr">
        <is>
          <t>initiate</t>
        </is>
      </c>
      <c r="E23" s="11" t="inlineStr">
        <is>
          <t>implementation-operating-system</t>
        </is>
      </c>
      <c r="F23" s="11" t="inlineStr">
        <is>
          <t>lifecycle/gates.yaml</t>
        </is>
      </c>
      <c r="G23" s="12" t="inlineStr">
        <is>
          <t>9acd25a</t>
        </is>
      </c>
      <c r="H23" s="11" t="b">
        <v>1</v>
      </c>
    </row>
    <row r="24">
      <c r="A24" s="11" t="inlineStr">
        <is>
          <t>LKP-000020</t>
        </is>
      </c>
      <c r="B24" s="11" t="inlineStr">
        <is>
          <t>gate_id</t>
        </is>
      </c>
      <c r="C24" s="12" t="inlineStr">
        <is>
          <t>discover_gate</t>
        </is>
      </c>
      <c r="D24" s="12" t="inlineStr">
        <is>
          <t>discover</t>
        </is>
      </c>
      <c r="E24" s="11" t="inlineStr">
        <is>
          <t>implementation-operating-system</t>
        </is>
      </c>
      <c r="F24" s="11" t="inlineStr">
        <is>
          <t>lifecycle/gates.yaml</t>
        </is>
      </c>
      <c r="G24" s="12" t="inlineStr">
        <is>
          <t>9acd25a</t>
        </is>
      </c>
      <c r="H24" s="11" t="b">
        <v>1</v>
      </c>
    </row>
    <row r="25">
      <c r="A25" s="11" t="inlineStr">
        <is>
          <t>LKP-000021</t>
        </is>
      </c>
      <c r="B25" s="11" t="inlineStr">
        <is>
          <t>gate_id</t>
        </is>
      </c>
      <c r="C25" s="12" t="inlineStr">
        <is>
          <t>design_gate</t>
        </is>
      </c>
      <c r="D25" s="12" t="inlineStr">
        <is>
          <t>design</t>
        </is>
      </c>
      <c r="E25" s="11" t="inlineStr">
        <is>
          <t>implementation-operating-system</t>
        </is>
      </c>
      <c r="F25" s="11" t="inlineStr">
        <is>
          <t>lifecycle/gates.yaml</t>
        </is>
      </c>
      <c r="G25" s="12" t="inlineStr">
        <is>
          <t>9acd25a</t>
        </is>
      </c>
      <c r="H25" s="11" t="b">
        <v>1</v>
      </c>
    </row>
    <row r="26">
      <c r="A26" s="11" t="inlineStr">
        <is>
          <t>LKP-000022</t>
        </is>
      </c>
      <c r="B26" s="11" t="inlineStr">
        <is>
          <t>gate_id</t>
        </is>
      </c>
      <c r="C26" s="12" t="inlineStr">
        <is>
          <t>build_gate</t>
        </is>
      </c>
      <c r="D26" s="12" t="inlineStr">
        <is>
          <t>build</t>
        </is>
      </c>
      <c r="E26" s="11" t="inlineStr">
        <is>
          <t>implementation-operating-system</t>
        </is>
      </c>
      <c r="F26" s="11" t="inlineStr">
        <is>
          <t>lifecycle/gates.yaml</t>
        </is>
      </c>
      <c r="G26" s="12" t="inlineStr">
        <is>
          <t>9acd25a</t>
        </is>
      </c>
      <c r="H26" s="11" t="b">
        <v>1</v>
      </c>
    </row>
    <row r="27">
      <c r="A27" s="11" t="inlineStr">
        <is>
          <t>LKP-000023</t>
        </is>
      </c>
      <c r="B27" s="11" t="inlineStr">
        <is>
          <t>gate_id</t>
        </is>
      </c>
      <c r="C27" s="12" t="inlineStr">
        <is>
          <t>validate_gate</t>
        </is>
      </c>
      <c r="D27" s="12" t="inlineStr">
        <is>
          <t>validate</t>
        </is>
      </c>
      <c r="E27" s="11" t="inlineStr">
        <is>
          <t>implementation-operating-system</t>
        </is>
      </c>
      <c r="F27" s="11" t="inlineStr">
        <is>
          <t>lifecycle/gates.yaml</t>
        </is>
      </c>
      <c r="G27" s="12" t="inlineStr">
        <is>
          <t>9acd25a</t>
        </is>
      </c>
      <c r="H27" s="11" t="b">
        <v>1</v>
      </c>
    </row>
    <row r="28">
      <c r="A28" s="11" t="inlineStr">
        <is>
          <t>LKP-000024</t>
        </is>
      </c>
      <c r="B28" s="11" t="inlineStr">
        <is>
          <t>gate_id</t>
        </is>
      </c>
      <c r="C28" s="12" t="inlineStr">
        <is>
          <t>enable_gate</t>
        </is>
      </c>
      <c r="D28" s="12" t="inlineStr">
        <is>
          <t>enable</t>
        </is>
      </c>
      <c r="E28" s="11" t="inlineStr">
        <is>
          <t>implementation-operating-system</t>
        </is>
      </c>
      <c r="F28" s="11" t="inlineStr">
        <is>
          <t>lifecycle/gates.yaml</t>
        </is>
      </c>
      <c r="G28" s="12" t="inlineStr">
        <is>
          <t>9acd25a</t>
        </is>
      </c>
      <c r="H28" s="11" t="b">
        <v>1</v>
      </c>
    </row>
    <row r="29">
      <c r="A29" s="11" t="inlineStr">
        <is>
          <t>LKP-000025</t>
        </is>
      </c>
      <c r="B29" s="11" t="inlineStr">
        <is>
          <t>gate_id</t>
        </is>
      </c>
      <c r="C29" s="12" t="inlineStr">
        <is>
          <t>launch_gate</t>
        </is>
      </c>
      <c r="D29" s="12" t="inlineStr">
        <is>
          <t>launch</t>
        </is>
      </c>
      <c r="E29" s="11" t="inlineStr">
        <is>
          <t>implementation-operating-system</t>
        </is>
      </c>
      <c r="F29" s="11" t="inlineStr">
        <is>
          <t>lifecycle/gates.yaml</t>
        </is>
      </c>
      <c r="G29" s="12" t="inlineStr">
        <is>
          <t>9acd25a</t>
        </is>
      </c>
      <c r="H29" s="11" t="b">
        <v>1</v>
      </c>
    </row>
    <row r="30">
      <c r="A30" s="11" t="inlineStr">
        <is>
          <t>LKP-000026</t>
        </is>
      </c>
      <c r="B30" s="11" t="inlineStr">
        <is>
          <t>gate_id</t>
        </is>
      </c>
      <c r="C30" s="12" t="inlineStr">
        <is>
          <t>stabilize_gate</t>
        </is>
      </c>
      <c r="D30" s="12" t="inlineStr">
        <is>
          <t>stabilize</t>
        </is>
      </c>
      <c r="E30" s="11" t="inlineStr">
        <is>
          <t>implementation-operating-system</t>
        </is>
      </c>
      <c r="F30" s="11" t="inlineStr">
        <is>
          <t>lifecycle/gates.yaml</t>
        </is>
      </c>
      <c r="G30" s="12" t="inlineStr">
        <is>
          <t>9acd25a</t>
        </is>
      </c>
      <c r="H30" s="11" t="b">
        <v>1</v>
      </c>
    </row>
    <row r="31">
      <c r="A31" s="11" t="inlineStr">
        <is>
          <t>LKP-000027</t>
        </is>
      </c>
      <c r="B31" s="11" t="inlineStr">
        <is>
          <t>gate_id</t>
        </is>
      </c>
      <c r="C31" s="12" t="inlineStr">
        <is>
          <t>transition_gate</t>
        </is>
      </c>
      <c r="D31" s="12" t="inlineStr">
        <is>
          <t>transition</t>
        </is>
      </c>
      <c r="E31" s="11" t="inlineStr">
        <is>
          <t>implementation-operating-system</t>
        </is>
      </c>
      <c r="F31" s="11" t="inlineStr">
        <is>
          <t>lifecycle/gates.yaml</t>
        </is>
      </c>
      <c r="G31" s="12" t="inlineStr">
        <is>
          <t>9acd25a</t>
        </is>
      </c>
      <c r="H31" s="11" t="b">
        <v>1</v>
      </c>
    </row>
    <row r="32">
      <c r="A32" s="11" t="inlineStr">
        <is>
          <t>LKP-000028</t>
        </is>
      </c>
      <c r="B32" s="11" t="inlineStr">
        <is>
          <t>project_status</t>
        </is>
      </c>
      <c r="C32" s="12" t="inlineStr">
        <is>
          <t>active</t>
        </is>
      </c>
      <c r="D32" s="12" t="inlineStr">
        <is>
          <t>active</t>
        </is>
      </c>
      <c r="E32" s="11" t="inlineStr">
        <is>
          <t>implementation-operating-system</t>
        </is>
      </c>
      <c r="F32" s="11" t="inlineStr">
        <is>
          <t>schemas/project.schema.json</t>
        </is>
      </c>
      <c r="G32" s="12" t="inlineStr">
        <is>
          <t>9acd25a</t>
        </is>
      </c>
      <c r="H32" s="11" t="b">
        <v>1</v>
      </c>
    </row>
    <row r="33">
      <c r="A33" s="11" t="inlineStr">
        <is>
          <t>LKP-000029</t>
        </is>
      </c>
      <c r="B33" s="11" t="inlineStr">
        <is>
          <t>project_status</t>
        </is>
      </c>
      <c r="C33" s="12" t="inlineStr">
        <is>
          <t>on_hold</t>
        </is>
      </c>
      <c r="D33" s="12" t="inlineStr">
        <is>
          <t>on_hold</t>
        </is>
      </c>
      <c r="E33" s="11" t="inlineStr">
        <is>
          <t>implementation-operating-system</t>
        </is>
      </c>
      <c r="F33" s="11" t="inlineStr">
        <is>
          <t>schemas/project.schema.json</t>
        </is>
      </c>
      <c r="G33" s="12" t="inlineStr">
        <is>
          <t>9acd25a</t>
        </is>
      </c>
      <c r="H33" s="11" t="b">
        <v>1</v>
      </c>
    </row>
    <row r="34">
      <c r="A34" s="11" t="inlineStr">
        <is>
          <t>LKP-000030</t>
        </is>
      </c>
      <c r="B34" s="11" t="inlineStr">
        <is>
          <t>project_status</t>
        </is>
      </c>
      <c r="C34" s="12" t="inlineStr">
        <is>
          <t>completed</t>
        </is>
      </c>
      <c r="D34" s="12" t="inlineStr">
        <is>
          <t>completed</t>
        </is>
      </c>
      <c r="E34" s="11" t="inlineStr">
        <is>
          <t>implementation-operating-system</t>
        </is>
      </c>
      <c r="F34" s="11" t="inlineStr">
        <is>
          <t>schemas/project.schema.json</t>
        </is>
      </c>
      <c r="G34" s="12" t="inlineStr">
        <is>
          <t>9acd25a</t>
        </is>
      </c>
      <c r="H34" s="11" t="b">
        <v>1</v>
      </c>
    </row>
    <row r="35">
      <c r="A35" s="11" t="inlineStr">
        <is>
          <t>LKP-000031</t>
        </is>
      </c>
      <c r="B35" s="11" t="inlineStr">
        <is>
          <t>project_status</t>
        </is>
      </c>
      <c r="C35" s="12" t="inlineStr">
        <is>
          <t>cancelled</t>
        </is>
      </c>
      <c r="D35" s="12" t="inlineStr">
        <is>
          <t>cancelled</t>
        </is>
      </c>
      <c r="E35" s="11" t="inlineStr">
        <is>
          <t>implementation-operating-system</t>
        </is>
      </c>
      <c r="F35" s="11" t="inlineStr">
        <is>
          <t>schemas/project.schema.json</t>
        </is>
      </c>
      <c r="G35" s="12" t="inlineStr">
        <is>
          <t>9acd25a</t>
        </is>
      </c>
      <c r="H35" s="11" t="b">
        <v>1</v>
      </c>
    </row>
    <row r="36">
      <c r="A36" s="11" t="inlineStr">
        <is>
          <t>LKP-000032</t>
        </is>
      </c>
      <c r="B36" s="11" t="inlineStr">
        <is>
          <t>org_stage</t>
        </is>
      </c>
      <c r="C36" s="12" t="inlineStr">
        <is>
          <t>startup</t>
        </is>
      </c>
      <c r="D36" s="12" t="inlineStr">
        <is>
          <t>startup</t>
        </is>
      </c>
      <c r="E36" s="11" t="inlineStr">
        <is>
          <t>implementation-operating-system</t>
        </is>
      </c>
      <c r="F36" s="11" t="inlineStr">
        <is>
          <t>standard/org-stages.yaml</t>
        </is>
      </c>
      <c r="G36" s="12" t="inlineStr">
        <is>
          <t>9acd25a</t>
        </is>
      </c>
      <c r="H36" s="11" t="b">
        <v>1</v>
      </c>
    </row>
    <row r="37">
      <c r="A37" s="11" t="inlineStr">
        <is>
          <t>LKP-000033</t>
        </is>
      </c>
      <c r="B37" s="11" t="inlineStr">
        <is>
          <t>org_stage</t>
        </is>
      </c>
      <c r="C37" s="12" t="inlineStr">
        <is>
          <t>early_scale</t>
        </is>
      </c>
      <c r="D37" s="12" t="inlineStr">
        <is>
          <t>early_scale</t>
        </is>
      </c>
      <c r="E37" s="11" t="inlineStr">
        <is>
          <t>implementation-operating-system</t>
        </is>
      </c>
      <c r="F37" s="11" t="inlineStr">
        <is>
          <t>standard/org-stages.yaml</t>
        </is>
      </c>
      <c r="G37" s="12" t="inlineStr">
        <is>
          <t>9acd25a</t>
        </is>
      </c>
      <c r="H37" s="11" t="b">
        <v>1</v>
      </c>
    </row>
    <row r="38">
      <c r="A38" s="11" t="inlineStr">
        <is>
          <t>LKP-000034</t>
        </is>
      </c>
      <c r="B38" s="11" t="inlineStr">
        <is>
          <t>org_stage</t>
        </is>
      </c>
      <c r="C38" s="12" t="inlineStr">
        <is>
          <t>structured_growth</t>
        </is>
      </c>
      <c r="D38" s="12" t="inlineStr">
        <is>
          <t>structured_growth</t>
        </is>
      </c>
      <c r="E38" s="11" t="inlineStr">
        <is>
          <t>implementation-operating-system</t>
        </is>
      </c>
      <c r="F38" s="11" t="inlineStr">
        <is>
          <t>standard/org-stages.yaml</t>
        </is>
      </c>
      <c r="G38" s="12" t="inlineStr">
        <is>
          <t>9acd25a</t>
        </is>
      </c>
      <c r="H38" s="11" t="b">
        <v>1</v>
      </c>
    </row>
    <row r="39">
      <c r="A39" s="11" t="inlineStr">
        <is>
          <t>LKP-000035</t>
        </is>
      </c>
      <c r="B39" s="11" t="inlineStr">
        <is>
          <t>org_stage</t>
        </is>
      </c>
      <c r="C39" s="12" t="inlineStr">
        <is>
          <t>mature</t>
        </is>
      </c>
      <c r="D39" s="12" t="inlineStr">
        <is>
          <t>mature</t>
        </is>
      </c>
      <c r="E39" s="11" t="inlineStr">
        <is>
          <t>implementation-operating-system</t>
        </is>
      </c>
      <c r="F39" s="11" t="inlineStr">
        <is>
          <t>standard/org-stages.yaml</t>
        </is>
      </c>
      <c r="G39" s="12" t="inlineStr">
        <is>
          <t>9acd25a</t>
        </is>
      </c>
      <c r="H39" s="11" t="b">
        <v>1</v>
      </c>
    </row>
    <row r="40">
      <c r="A40" s="11" t="inlineStr">
        <is>
          <t>LKP-000036</t>
        </is>
      </c>
      <c r="B40" s="11" t="inlineStr">
        <is>
          <t>milestone_status</t>
        </is>
      </c>
      <c r="C40" s="12" t="inlineStr">
        <is>
          <t>planned</t>
        </is>
      </c>
      <c r="D40" s="12" t="inlineStr">
        <is>
          <t>planned</t>
        </is>
      </c>
      <c r="E40" s="11" t="inlineStr">
        <is>
          <t>implementation-operating-system</t>
        </is>
      </c>
      <c r="F40" s="11" t="inlineStr">
        <is>
          <t>schemas/milestone.schema.json</t>
        </is>
      </c>
      <c r="G40" s="12" t="inlineStr">
        <is>
          <t>9acd25a</t>
        </is>
      </c>
      <c r="H40" s="11" t="b">
        <v>1</v>
      </c>
    </row>
    <row r="41">
      <c r="A41" s="11" t="inlineStr">
        <is>
          <t>LKP-000037</t>
        </is>
      </c>
      <c r="B41" s="11" t="inlineStr">
        <is>
          <t>milestone_status</t>
        </is>
      </c>
      <c r="C41" s="12" t="inlineStr">
        <is>
          <t>achieved</t>
        </is>
      </c>
      <c r="D41" s="12" t="inlineStr">
        <is>
          <t>achieved</t>
        </is>
      </c>
      <c r="E41" s="11" t="inlineStr">
        <is>
          <t>implementation-operating-system</t>
        </is>
      </c>
      <c r="F41" s="11" t="inlineStr">
        <is>
          <t>schemas/milestone.schema.json</t>
        </is>
      </c>
      <c r="G41" s="12" t="inlineStr">
        <is>
          <t>9acd25a</t>
        </is>
      </c>
      <c r="H41" s="11" t="b">
        <v>1</v>
      </c>
    </row>
    <row r="42">
      <c r="A42" s="11" t="inlineStr">
        <is>
          <t>LKP-000038</t>
        </is>
      </c>
      <c r="B42" s="11" t="inlineStr">
        <is>
          <t>milestone_status</t>
        </is>
      </c>
      <c r="C42" s="12" t="inlineStr">
        <is>
          <t>missed</t>
        </is>
      </c>
      <c r="D42" s="12" t="inlineStr">
        <is>
          <t>missed</t>
        </is>
      </c>
      <c r="E42" s="11" t="inlineStr">
        <is>
          <t>implementation-operating-system</t>
        </is>
      </c>
      <c r="F42" s="11" t="inlineStr">
        <is>
          <t>schemas/milestone.schema.json</t>
        </is>
      </c>
      <c r="G42" s="12" t="inlineStr">
        <is>
          <t>9acd25a</t>
        </is>
      </c>
      <c r="H42" s="11" t="b">
        <v>1</v>
      </c>
    </row>
    <row r="43">
      <c r="A43" s="11" t="inlineStr">
        <is>
          <t>LKP-000039</t>
        </is>
      </c>
      <c r="B43" s="11" t="inlineStr">
        <is>
          <t>task_status</t>
        </is>
      </c>
      <c r="C43" s="12" t="inlineStr">
        <is>
          <t>not_started</t>
        </is>
      </c>
      <c r="D43" s="12" t="inlineStr">
        <is>
          <t>not_started</t>
        </is>
      </c>
      <c r="E43" s="11" t="inlineStr">
        <is>
          <t>implementation-operating-system</t>
        </is>
      </c>
      <c r="F43" s="11" t="inlineStr">
        <is>
          <t>schemas/task.schema.json</t>
        </is>
      </c>
      <c r="G43" s="12" t="inlineStr">
        <is>
          <t>9acd25a</t>
        </is>
      </c>
      <c r="H43" s="11" t="b">
        <v>1</v>
      </c>
    </row>
    <row r="44">
      <c r="A44" s="11" t="inlineStr">
        <is>
          <t>LKP-000040</t>
        </is>
      </c>
      <c r="B44" s="11" t="inlineStr">
        <is>
          <t>task_status</t>
        </is>
      </c>
      <c r="C44" s="12" t="inlineStr">
        <is>
          <t>in_progress</t>
        </is>
      </c>
      <c r="D44" s="12" t="inlineStr">
        <is>
          <t>in_progress</t>
        </is>
      </c>
      <c r="E44" s="11" t="inlineStr">
        <is>
          <t>implementation-operating-system</t>
        </is>
      </c>
      <c r="F44" s="11" t="inlineStr">
        <is>
          <t>schemas/task.schema.json</t>
        </is>
      </c>
      <c r="G44" s="12" t="inlineStr">
        <is>
          <t>9acd25a</t>
        </is>
      </c>
      <c r="H44" s="11" t="b">
        <v>1</v>
      </c>
    </row>
    <row r="45">
      <c r="A45" s="11" t="inlineStr">
        <is>
          <t>LKP-000041</t>
        </is>
      </c>
      <c r="B45" s="11" t="inlineStr">
        <is>
          <t>task_status</t>
        </is>
      </c>
      <c r="C45" s="12" t="inlineStr">
        <is>
          <t>blocked</t>
        </is>
      </c>
      <c r="D45" s="12" t="inlineStr">
        <is>
          <t>blocked</t>
        </is>
      </c>
      <c r="E45" s="11" t="inlineStr">
        <is>
          <t>implementation-operating-system</t>
        </is>
      </c>
      <c r="F45" s="11" t="inlineStr">
        <is>
          <t>schemas/task.schema.json</t>
        </is>
      </c>
      <c r="G45" s="12" t="inlineStr">
        <is>
          <t>9acd25a</t>
        </is>
      </c>
      <c r="H45" s="11" t="b">
        <v>1</v>
      </c>
    </row>
    <row r="46">
      <c r="A46" s="11" t="inlineStr">
        <is>
          <t>LKP-000042</t>
        </is>
      </c>
      <c r="B46" s="11" t="inlineStr">
        <is>
          <t>task_status</t>
        </is>
      </c>
      <c r="C46" s="12" t="inlineStr">
        <is>
          <t>completed</t>
        </is>
      </c>
      <c r="D46" s="12" t="inlineStr">
        <is>
          <t>completed</t>
        </is>
      </c>
      <c r="E46" s="11" t="inlineStr">
        <is>
          <t>implementation-operating-system</t>
        </is>
      </c>
      <c r="F46" s="11" t="inlineStr">
        <is>
          <t>schemas/task.schema.json</t>
        </is>
      </c>
      <c r="G46" s="12" t="inlineStr">
        <is>
          <t>9acd25a</t>
        </is>
      </c>
      <c r="H46" s="11" t="b">
        <v>1</v>
      </c>
    </row>
    <row r="47">
      <c r="A47" s="11" t="inlineStr">
        <is>
          <t>LKP-000043</t>
        </is>
      </c>
      <c r="B47" s="11" t="inlineStr">
        <is>
          <t>task_status</t>
        </is>
      </c>
      <c r="C47" s="12" t="inlineStr">
        <is>
          <t>cancelled</t>
        </is>
      </c>
      <c r="D47" s="12" t="inlineStr">
        <is>
          <t>cancelled</t>
        </is>
      </c>
      <c r="E47" s="11" t="inlineStr">
        <is>
          <t>implementation-operating-system</t>
        </is>
      </c>
      <c r="F47" s="11" t="inlineStr">
        <is>
          <t>schemas/task.schema.json</t>
        </is>
      </c>
      <c r="G47" s="12" t="inlineStr">
        <is>
          <t>9acd25a</t>
        </is>
      </c>
      <c r="H47" s="11" t="b">
        <v>1</v>
      </c>
    </row>
    <row r="48">
      <c r="A48" s="11" t="inlineStr">
        <is>
          <t>LKP-000044</t>
        </is>
      </c>
      <c r="B48" s="11" t="inlineStr">
        <is>
          <t>request_status</t>
        </is>
      </c>
      <c r="C48" s="12" t="inlineStr">
        <is>
          <t>submitted</t>
        </is>
      </c>
      <c r="D48" s="12" t="inlineStr">
        <is>
          <t>submitted</t>
        </is>
      </c>
      <c r="E48" s="11" t="inlineStr">
        <is>
          <t>implementation-operating-system</t>
        </is>
      </c>
      <c r="F48" s="11" t="inlineStr">
        <is>
          <t>config/request-state-machine.yaml</t>
        </is>
      </c>
      <c r="G48" s="12" t="inlineStr">
        <is>
          <t>9acd25a</t>
        </is>
      </c>
      <c r="H48" s="11" t="b">
        <v>1</v>
      </c>
    </row>
    <row r="49">
      <c r="A49" s="11" t="inlineStr">
        <is>
          <t>LKP-000045</t>
        </is>
      </c>
      <c r="B49" s="11" t="inlineStr">
        <is>
          <t>request_status</t>
        </is>
      </c>
      <c r="C49" s="12" t="inlineStr">
        <is>
          <t>triaged</t>
        </is>
      </c>
      <c r="D49" s="12" t="inlineStr">
        <is>
          <t>triaged</t>
        </is>
      </c>
      <c r="E49" s="11" t="inlineStr">
        <is>
          <t>implementation-operating-system</t>
        </is>
      </c>
      <c r="F49" s="11" t="inlineStr">
        <is>
          <t>config/request-state-machine.yaml</t>
        </is>
      </c>
      <c r="G49" s="12" t="inlineStr">
        <is>
          <t>9acd25a</t>
        </is>
      </c>
      <c r="H49" s="11" t="b">
        <v>1</v>
      </c>
    </row>
    <row r="50">
      <c r="A50" s="11" t="inlineStr">
        <is>
          <t>LKP-000046</t>
        </is>
      </c>
      <c r="B50" s="11" t="inlineStr">
        <is>
          <t>request_status</t>
        </is>
      </c>
      <c r="C50" s="12" t="inlineStr">
        <is>
          <t>awaiting_approval</t>
        </is>
      </c>
      <c r="D50" s="12" t="inlineStr">
        <is>
          <t>awaiting_approval</t>
        </is>
      </c>
      <c r="E50" s="11" t="inlineStr">
        <is>
          <t>implementation-operating-system</t>
        </is>
      </c>
      <c r="F50" s="11" t="inlineStr">
        <is>
          <t>config/request-state-machine.yaml</t>
        </is>
      </c>
      <c r="G50" s="12" t="inlineStr">
        <is>
          <t>9acd25a</t>
        </is>
      </c>
      <c r="H50" s="11" t="b">
        <v>1</v>
      </c>
    </row>
    <row r="51">
      <c r="A51" s="11" t="inlineStr">
        <is>
          <t>LKP-000047</t>
        </is>
      </c>
      <c r="B51" s="11" t="inlineStr">
        <is>
          <t>request_status</t>
        </is>
      </c>
      <c r="C51" s="12" t="inlineStr">
        <is>
          <t>accepted</t>
        </is>
      </c>
      <c r="D51" s="12" t="inlineStr">
        <is>
          <t>accepted</t>
        </is>
      </c>
      <c r="E51" s="11" t="inlineStr">
        <is>
          <t>implementation-operating-system</t>
        </is>
      </c>
      <c r="F51" s="11" t="inlineStr">
        <is>
          <t>config/request-state-machine.yaml</t>
        </is>
      </c>
      <c r="G51" s="12" t="inlineStr">
        <is>
          <t>9acd25a</t>
        </is>
      </c>
      <c r="H51" s="11" t="b">
        <v>1</v>
      </c>
    </row>
    <row r="52">
      <c r="A52" s="11" t="inlineStr">
        <is>
          <t>LKP-000048</t>
        </is>
      </c>
      <c r="B52" s="11" t="inlineStr">
        <is>
          <t>request_status</t>
        </is>
      </c>
      <c r="C52" s="12" t="inlineStr">
        <is>
          <t>in_progress</t>
        </is>
      </c>
      <c r="D52" s="12" t="inlineStr">
        <is>
          <t>in_progress</t>
        </is>
      </c>
      <c r="E52" s="11" t="inlineStr">
        <is>
          <t>implementation-operating-system</t>
        </is>
      </c>
      <c r="F52" s="11" t="inlineStr">
        <is>
          <t>config/request-state-machine.yaml</t>
        </is>
      </c>
      <c r="G52" s="12" t="inlineStr">
        <is>
          <t>9acd25a</t>
        </is>
      </c>
      <c r="H52" s="11" t="b">
        <v>1</v>
      </c>
    </row>
    <row r="53">
      <c r="A53" s="11" t="inlineStr">
        <is>
          <t>LKP-000049</t>
        </is>
      </c>
      <c r="B53" s="11" t="inlineStr">
        <is>
          <t>request_status</t>
        </is>
      </c>
      <c r="C53" s="12" t="inlineStr">
        <is>
          <t>blocked</t>
        </is>
      </c>
      <c r="D53" s="12" t="inlineStr">
        <is>
          <t>blocked</t>
        </is>
      </c>
      <c r="E53" s="11" t="inlineStr">
        <is>
          <t>implementation-operating-system</t>
        </is>
      </c>
      <c r="F53" s="11" t="inlineStr">
        <is>
          <t>config/request-state-machine.yaml</t>
        </is>
      </c>
      <c r="G53" s="12" t="inlineStr">
        <is>
          <t>9acd25a</t>
        </is>
      </c>
      <c r="H53" s="11" t="b">
        <v>1</v>
      </c>
    </row>
    <row r="54">
      <c r="A54" s="11" t="inlineStr">
        <is>
          <t>LKP-000050</t>
        </is>
      </c>
      <c r="B54" s="11" t="inlineStr">
        <is>
          <t>request_status</t>
        </is>
      </c>
      <c r="C54" s="12" t="inlineStr">
        <is>
          <t>ready_for_handoff</t>
        </is>
      </c>
      <c r="D54" s="12" t="inlineStr">
        <is>
          <t>ready_for_handoff</t>
        </is>
      </c>
      <c r="E54" s="11" t="inlineStr">
        <is>
          <t>implementation-operating-system</t>
        </is>
      </c>
      <c r="F54" s="11" t="inlineStr">
        <is>
          <t>config/request-state-machine.yaml</t>
        </is>
      </c>
      <c r="G54" s="12" t="inlineStr">
        <is>
          <t>9acd25a</t>
        </is>
      </c>
      <c r="H54" s="11" t="b">
        <v>1</v>
      </c>
    </row>
    <row r="55">
      <c r="A55" s="11" t="inlineStr">
        <is>
          <t>LKP-000051</t>
        </is>
      </c>
      <c r="B55" s="11" t="inlineStr">
        <is>
          <t>request_status</t>
        </is>
      </c>
      <c r="C55" s="12" t="inlineStr">
        <is>
          <t>handed_off</t>
        </is>
      </c>
      <c r="D55" s="12" t="inlineStr">
        <is>
          <t>handed_off</t>
        </is>
      </c>
      <c r="E55" s="11" t="inlineStr">
        <is>
          <t>implementation-operating-system</t>
        </is>
      </c>
      <c r="F55" s="11" t="inlineStr">
        <is>
          <t>config/request-state-machine.yaml</t>
        </is>
      </c>
      <c r="G55" s="12" t="inlineStr">
        <is>
          <t>9acd25a</t>
        </is>
      </c>
      <c r="H55" s="11" t="b">
        <v>1</v>
      </c>
    </row>
    <row r="56">
      <c r="A56" s="11" t="inlineStr">
        <is>
          <t>LKP-000052</t>
        </is>
      </c>
      <c r="B56" s="11" t="inlineStr">
        <is>
          <t>request_status</t>
        </is>
      </c>
      <c r="C56" s="12" t="inlineStr">
        <is>
          <t>closed</t>
        </is>
      </c>
      <c r="D56" s="12" t="inlineStr">
        <is>
          <t>closed</t>
        </is>
      </c>
      <c r="E56" s="11" t="inlineStr">
        <is>
          <t>implementation-operating-system</t>
        </is>
      </c>
      <c r="F56" s="11" t="inlineStr">
        <is>
          <t>config/request-state-machine.yaml</t>
        </is>
      </c>
      <c r="G56" s="12" t="inlineStr">
        <is>
          <t>9acd25a</t>
        </is>
      </c>
      <c r="H56" s="11" t="b">
        <v>1</v>
      </c>
    </row>
    <row r="57">
      <c r="A57" s="11" t="inlineStr">
        <is>
          <t>LKP-000053</t>
        </is>
      </c>
      <c r="B57" s="11" t="inlineStr">
        <is>
          <t>request_transition</t>
        </is>
      </c>
      <c r="C57" s="12" t="inlineStr">
        <is>
          <t>submitted&gt;triaged</t>
        </is>
      </c>
      <c r="D57" s="12" t="inlineStr">
        <is>
          <t>owner</t>
        </is>
      </c>
      <c r="E57" s="11" t="inlineStr">
        <is>
          <t>implementation-operating-system</t>
        </is>
      </c>
      <c r="F57" s="11" t="inlineStr">
        <is>
          <t>config/request-state-machine.yaml</t>
        </is>
      </c>
      <c r="G57" s="12" t="inlineStr">
        <is>
          <t>9acd25a</t>
        </is>
      </c>
      <c r="H57" s="11" t="b">
        <v>1</v>
      </c>
    </row>
    <row r="58">
      <c r="A58" s="11" t="inlineStr">
        <is>
          <t>LKP-000054</t>
        </is>
      </c>
      <c r="B58" s="11" t="inlineStr">
        <is>
          <t>request_transition</t>
        </is>
      </c>
      <c r="C58" s="12" t="inlineStr">
        <is>
          <t>submitted&gt;closed</t>
        </is>
      </c>
      <c r="D58" s="12" t="inlineStr">
        <is>
          <t>owner</t>
        </is>
      </c>
      <c r="E58" s="11" t="inlineStr">
        <is>
          <t>implementation-operating-system</t>
        </is>
      </c>
      <c r="F58" s="11" t="inlineStr">
        <is>
          <t>config/request-state-machine.yaml</t>
        </is>
      </c>
      <c r="G58" s="12" t="inlineStr">
        <is>
          <t>9acd25a</t>
        </is>
      </c>
      <c r="H58" s="11" t="b">
        <v>1</v>
      </c>
    </row>
    <row r="59">
      <c r="A59" s="11" t="inlineStr">
        <is>
          <t>LKP-000055</t>
        </is>
      </c>
      <c r="B59" s="11" t="inlineStr">
        <is>
          <t>request_transition</t>
        </is>
      </c>
      <c r="C59" s="12" t="inlineStr">
        <is>
          <t>triaged&gt;awaiting_approval</t>
        </is>
      </c>
      <c r="D59" s="12" t="inlineStr">
        <is>
          <t>owner</t>
        </is>
      </c>
      <c r="E59" s="11" t="inlineStr">
        <is>
          <t>implementation-operating-system</t>
        </is>
      </c>
      <c r="F59" s="11" t="inlineStr">
        <is>
          <t>config/request-state-machine.yaml</t>
        </is>
      </c>
      <c r="G59" s="12" t="inlineStr">
        <is>
          <t>9acd25a</t>
        </is>
      </c>
      <c r="H59" s="11" t="b">
        <v>1</v>
      </c>
    </row>
    <row r="60">
      <c r="A60" s="11" t="inlineStr">
        <is>
          <t>LKP-000056</t>
        </is>
      </c>
      <c r="B60" s="11" t="inlineStr">
        <is>
          <t>request_transition</t>
        </is>
      </c>
      <c r="C60" s="12" t="inlineStr">
        <is>
          <t>triaged&gt;accepted</t>
        </is>
      </c>
      <c r="D60" s="12" t="inlineStr">
        <is>
          <t>owner</t>
        </is>
      </c>
      <c r="E60" s="11" t="inlineStr">
        <is>
          <t>implementation-operating-system</t>
        </is>
      </c>
      <c r="F60" s="11" t="inlineStr">
        <is>
          <t>config/request-state-machine.yaml</t>
        </is>
      </c>
      <c r="G60" s="12" t="inlineStr">
        <is>
          <t>9acd25a</t>
        </is>
      </c>
      <c r="H60" s="11" t="b">
        <v>1</v>
      </c>
    </row>
    <row r="61">
      <c r="A61" s="11" t="inlineStr">
        <is>
          <t>LKP-000057</t>
        </is>
      </c>
      <c r="B61" s="11" t="inlineStr">
        <is>
          <t>request_transition</t>
        </is>
      </c>
      <c r="C61" s="12" t="inlineStr">
        <is>
          <t>triaged&gt;closed</t>
        </is>
      </c>
      <c r="D61" s="12" t="inlineStr">
        <is>
          <t>owner</t>
        </is>
      </c>
      <c r="E61" s="11" t="inlineStr">
        <is>
          <t>implementation-operating-system</t>
        </is>
      </c>
      <c r="F61" s="11" t="inlineStr">
        <is>
          <t>config/request-state-machine.yaml</t>
        </is>
      </c>
      <c r="G61" s="12" t="inlineStr">
        <is>
          <t>9acd25a</t>
        </is>
      </c>
      <c r="H61" s="11" t="b">
        <v>1</v>
      </c>
    </row>
    <row r="62">
      <c r="A62" s="11" t="inlineStr">
        <is>
          <t>LKP-000058</t>
        </is>
      </c>
      <c r="B62" s="11" t="inlineStr">
        <is>
          <t>request_transition</t>
        </is>
      </c>
      <c r="C62" s="12" t="inlineStr">
        <is>
          <t>awaiting_approval&gt;accepted</t>
        </is>
      </c>
      <c r="D62" s="12" t="inlineStr">
        <is>
          <t>approver</t>
        </is>
      </c>
      <c r="E62" s="11" t="inlineStr">
        <is>
          <t>implementation-operating-system</t>
        </is>
      </c>
      <c r="F62" s="11" t="inlineStr">
        <is>
          <t>config/request-state-machine.yaml</t>
        </is>
      </c>
      <c r="G62" s="12" t="inlineStr">
        <is>
          <t>9acd25a</t>
        </is>
      </c>
      <c r="H62" s="11" t="b">
        <v>1</v>
      </c>
    </row>
    <row r="63">
      <c r="A63" s="11" t="inlineStr">
        <is>
          <t>LKP-000059</t>
        </is>
      </c>
      <c r="B63" s="11" t="inlineStr">
        <is>
          <t>request_transition</t>
        </is>
      </c>
      <c r="C63" s="12" t="inlineStr">
        <is>
          <t>awaiting_approval&gt;closed</t>
        </is>
      </c>
      <c r="D63" s="12" t="inlineStr">
        <is>
          <t>approver</t>
        </is>
      </c>
      <c r="E63" s="11" t="inlineStr">
        <is>
          <t>implementation-operating-system</t>
        </is>
      </c>
      <c r="F63" s="11" t="inlineStr">
        <is>
          <t>config/request-state-machine.yaml</t>
        </is>
      </c>
      <c r="G63" s="12" t="inlineStr">
        <is>
          <t>9acd25a</t>
        </is>
      </c>
      <c r="H63" s="11" t="b">
        <v>1</v>
      </c>
    </row>
    <row r="64">
      <c r="A64" s="11" t="inlineStr">
        <is>
          <t>LKP-000060</t>
        </is>
      </c>
      <c r="B64" s="11" t="inlineStr">
        <is>
          <t>request_transition</t>
        </is>
      </c>
      <c r="C64" s="12" t="inlineStr">
        <is>
          <t>accepted&gt;in_progress</t>
        </is>
      </c>
      <c r="D64" s="12" t="inlineStr">
        <is>
          <t>owner</t>
        </is>
      </c>
      <c r="E64" s="11" t="inlineStr">
        <is>
          <t>implementation-operating-system</t>
        </is>
      </c>
      <c r="F64" s="11" t="inlineStr">
        <is>
          <t>config/request-state-machine.yaml</t>
        </is>
      </c>
      <c r="G64" s="12" t="inlineStr">
        <is>
          <t>9acd25a</t>
        </is>
      </c>
      <c r="H64" s="11" t="b">
        <v>1</v>
      </c>
    </row>
    <row r="65">
      <c r="A65" s="11" t="inlineStr">
        <is>
          <t>LKP-000061</t>
        </is>
      </c>
      <c r="B65" s="11" t="inlineStr">
        <is>
          <t>request_transition</t>
        </is>
      </c>
      <c r="C65" s="12" t="inlineStr">
        <is>
          <t>in_progress&gt;blocked</t>
        </is>
      </c>
      <c r="D65" s="12" t="inlineStr">
        <is>
          <t>owner</t>
        </is>
      </c>
      <c r="E65" s="11" t="inlineStr">
        <is>
          <t>implementation-operating-system</t>
        </is>
      </c>
      <c r="F65" s="11" t="inlineStr">
        <is>
          <t>config/request-state-machine.yaml</t>
        </is>
      </c>
      <c r="G65" s="12" t="inlineStr">
        <is>
          <t>9acd25a</t>
        </is>
      </c>
      <c r="H65" s="11" t="b">
        <v>1</v>
      </c>
    </row>
    <row r="66">
      <c r="A66" s="11" t="inlineStr">
        <is>
          <t>LKP-000062</t>
        </is>
      </c>
      <c r="B66" s="11" t="inlineStr">
        <is>
          <t>request_transition</t>
        </is>
      </c>
      <c r="C66" s="12" t="inlineStr">
        <is>
          <t>in_progress&gt;ready_for_handoff</t>
        </is>
      </c>
      <c r="D66" s="12" t="inlineStr">
        <is>
          <t>owner</t>
        </is>
      </c>
      <c r="E66" s="11" t="inlineStr">
        <is>
          <t>implementation-operating-system</t>
        </is>
      </c>
      <c r="F66" s="11" t="inlineStr">
        <is>
          <t>config/request-state-machine.yaml</t>
        </is>
      </c>
      <c r="G66" s="12" t="inlineStr">
        <is>
          <t>9acd25a</t>
        </is>
      </c>
      <c r="H66" s="11" t="b">
        <v>1</v>
      </c>
    </row>
    <row r="67">
      <c r="A67" s="11" t="inlineStr">
        <is>
          <t>LKP-000063</t>
        </is>
      </c>
      <c r="B67" s="11" t="inlineStr">
        <is>
          <t>request_transition</t>
        </is>
      </c>
      <c r="C67" s="12" t="inlineStr">
        <is>
          <t>in_progress&gt;closed</t>
        </is>
      </c>
      <c r="D67" s="12" t="inlineStr">
        <is>
          <t>owner</t>
        </is>
      </c>
      <c r="E67" s="11" t="inlineStr">
        <is>
          <t>implementation-operating-system</t>
        </is>
      </c>
      <c r="F67" s="11" t="inlineStr">
        <is>
          <t>config/request-state-machine.yaml</t>
        </is>
      </c>
      <c r="G67" s="12" t="inlineStr">
        <is>
          <t>9acd25a</t>
        </is>
      </c>
      <c r="H67" s="11" t="b">
        <v>1</v>
      </c>
    </row>
    <row r="68">
      <c r="A68" s="11" t="inlineStr">
        <is>
          <t>LKP-000064</t>
        </is>
      </c>
      <c r="B68" s="11" t="inlineStr">
        <is>
          <t>request_transition</t>
        </is>
      </c>
      <c r="C68" s="12" t="inlineStr">
        <is>
          <t>blocked&gt;in_progress</t>
        </is>
      </c>
      <c r="D68" s="12" t="inlineStr">
        <is>
          <t>owner</t>
        </is>
      </c>
      <c r="E68" s="11" t="inlineStr">
        <is>
          <t>implementation-operating-system</t>
        </is>
      </c>
      <c r="F68" s="11" t="inlineStr">
        <is>
          <t>config/request-state-machine.yaml</t>
        </is>
      </c>
      <c r="G68" s="12" t="inlineStr">
        <is>
          <t>9acd25a</t>
        </is>
      </c>
      <c r="H68" s="11" t="b">
        <v>1</v>
      </c>
    </row>
    <row r="69">
      <c r="A69" s="11" t="inlineStr">
        <is>
          <t>LKP-000065</t>
        </is>
      </c>
      <c r="B69" s="11" t="inlineStr">
        <is>
          <t>request_transition</t>
        </is>
      </c>
      <c r="C69" s="12" t="inlineStr">
        <is>
          <t>blocked&gt;closed</t>
        </is>
      </c>
      <c r="D69" s="12" t="inlineStr">
        <is>
          <t>owner</t>
        </is>
      </c>
      <c r="E69" s="11" t="inlineStr">
        <is>
          <t>implementation-operating-system</t>
        </is>
      </c>
      <c r="F69" s="11" t="inlineStr">
        <is>
          <t>config/request-state-machine.yaml</t>
        </is>
      </c>
      <c r="G69" s="12" t="inlineStr">
        <is>
          <t>9acd25a</t>
        </is>
      </c>
      <c r="H69" s="11" t="b">
        <v>1</v>
      </c>
    </row>
    <row r="70">
      <c r="A70" s="11" t="inlineStr">
        <is>
          <t>LKP-000066</t>
        </is>
      </c>
      <c r="B70" s="11" t="inlineStr">
        <is>
          <t>request_transition</t>
        </is>
      </c>
      <c r="C70" s="12" t="inlineStr">
        <is>
          <t>ready_for_handoff&gt;handed_off</t>
        </is>
      </c>
      <c r="D70" s="12" t="inlineStr">
        <is>
          <t>receiving_role</t>
        </is>
      </c>
      <c r="E70" s="11" t="inlineStr">
        <is>
          <t>implementation-operating-system</t>
        </is>
      </c>
      <c r="F70" s="11" t="inlineStr">
        <is>
          <t>config/request-state-machine.yaml</t>
        </is>
      </c>
      <c r="G70" s="12" t="inlineStr">
        <is>
          <t>9acd25a</t>
        </is>
      </c>
      <c r="H70" s="11" t="b">
        <v>1</v>
      </c>
    </row>
    <row r="71">
      <c r="A71" s="11" t="inlineStr">
        <is>
          <t>LKP-000067</t>
        </is>
      </c>
      <c r="B71" s="11" t="inlineStr">
        <is>
          <t>request_transition</t>
        </is>
      </c>
      <c r="C71" s="12" t="inlineStr">
        <is>
          <t>ready_for_handoff&gt;in_progress</t>
        </is>
      </c>
      <c r="D71" s="12" t="inlineStr">
        <is>
          <t>owner</t>
        </is>
      </c>
      <c r="E71" s="11" t="inlineStr">
        <is>
          <t>implementation-operating-system</t>
        </is>
      </c>
      <c r="F71" s="11" t="inlineStr">
        <is>
          <t>config/request-state-machine.yaml</t>
        </is>
      </c>
      <c r="G71" s="12" t="inlineStr">
        <is>
          <t>9acd25a</t>
        </is>
      </c>
      <c r="H71" s="11" t="b">
        <v>1</v>
      </c>
    </row>
    <row r="72">
      <c r="A72" s="11" t="inlineStr">
        <is>
          <t>LKP-000068</t>
        </is>
      </c>
      <c r="B72" s="11" t="inlineStr">
        <is>
          <t>request_transition</t>
        </is>
      </c>
      <c r="C72" s="12" t="inlineStr">
        <is>
          <t>handed_off&gt;closed</t>
        </is>
      </c>
      <c r="D72" s="12" t="inlineStr">
        <is>
          <t>receiving_role</t>
        </is>
      </c>
      <c r="E72" s="11" t="inlineStr">
        <is>
          <t>implementation-operating-system</t>
        </is>
      </c>
      <c r="F72" s="11" t="inlineStr">
        <is>
          <t>config/request-state-machine.yaml</t>
        </is>
      </c>
      <c r="G72" s="12" t="inlineStr">
        <is>
          <t>9acd25a</t>
        </is>
      </c>
      <c r="H72" s="11" t="b">
        <v>1</v>
      </c>
    </row>
    <row r="73">
      <c r="A73" s="11" t="inlineStr">
        <is>
          <t>LKP-000069</t>
        </is>
      </c>
      <c r="B73" s="11" t="inlineStr">
        <is>
          <t>request_type</t>
        </is>
      </c>
      <c r="C73" s="12" t="inlineStr">
        <is>
          <t>information</t>
        </is>
      </c>
      <c r="D73" s="12" t="inlineStr">
        <is>
          <t>information</t>
        </is>
      </c>
      <c r="E73" s="11" t="inlineStr">
        <is>
          <t>implementation-operating-system</t>
        </is>
      </c>
      <c r="F73" s="11" t="inlineStr">
        <is>
          <t>schemas/request.schema.json</t>
        </is>
      </c>
      <c r="G73" s="12" t="inlineStr">
        <is>
          <t>9acd25a</t>
        </is>
      </c>
      <c r="H73" s="11" t="b">
        <v>1</v>
      </c>
    </row>
    <row r="74">
      <c r="A74" s="11" t="inlineStr">
        <is>
          <t>LKP-000070</t>
        </is>
      </c>
      <c r="B74" s="11" t="inlineStr">
        <is>
          <t>request_type</t>
        </is>
      </c>
      <c r="C74" s="12" t="inlineStr">
        <is>
          <t>access</t>
        </is>
      </c>
      <c r="D74" s="12" t="inlineStr">
        <is>
          <t>access</t>
        </is>
      </c>
      <c r="E74" s="11" t="inlineStr">
        <is>
          <t>implementation-operating-system</t>
        </is>
      </c>
      <c r="F74" s="11" t="inlineStr">
        <is>
          <t>schemas/request.schema.json</t>
        </is>
      </c>
      <c r="G74" s="12" t="inlineStr">
        <is>
          <t>9acd25a</t>
        </is>
      </c>
      <c r="H74" s="11" t="b">
        <v>1</v>
      </c>
    </row>
    <row r="75">
      <c r="A75" s="11" t="inlineStr">
        <is>
          <t>LKP-000071</t>
        </is>
      </c>
      <c r="B75" s="11" t="inlineStr">
        <is>
          <t>request_type</t>
        </is>
      </c>
      <c r="C75" s="12" t="inlineStr">
        <is>
          <t>change</t>
        </is>
      </c>
      <c r="D75" s="12" t="inlineStr">
        <is>
          <t>change</t>
        </is>
      </c>
      <c r="E75" s="11" t="inlineStr">
        <is>
          <t>implementation-operating-system</t>
        </is>
      </c>
      <c r="F75" s="11" t="inlineStr">
        <is>
          <t>schemas/request.schema.json</t>
        </is>
      </c>
      <c r="G75" s="12" t="inlineStr">
        <is>
          <t>9acd25a</t>
        </is>
      </c>
      <c r="H75" s="11" t="b">
        <v>1</v>
      </c>
    </row>
    <row r="76">
      <c r="A76" s="11" t="inlineStr">
        <is>
          <t>LKP-000072</t>
        </is>
      </c>
      <c r="B76" s="11" t="inlineStr">
        <is>
          <t>request_type</t>
        </is>
      </c>
      <c r="C76" s="12" t="inlineStr">
        <is>
          <t>approval</t>
        </is>
      </c>
      <c r="D76" s="12" t="inlineStr">
        <is>
          <t>approval</t>
        </is>
      </c>
      <c r="E76" s="11" t="inlineStr">
        <is>
          <t>implementation-operating-system</t>
        </is>
      </c>
      <c r="F76" s="11" t="inlineStr">
        <is>
          <t>schemas/request.schema.json</t>
        </is>
      </c>
      <c r="G76" s="12" t="inlineStr">
        <is>
          <t>9acd25a</t>
        </is>
      </c>
      <c r="H76" s="11" t="b">
        <v>1</v>
      </c>
    </row>
    <row r="77">
      <c r="A77" s="11" t="inlineStr">
        <is>
          <t>LKP-000073</t>
        </is>
      </c>
      <c r="B77" s="11" t="inlineStr">
        <is>
          <t>request_type</t>
        </is>
      </c>
      <c r="C77" s="12" t="inlineStr">
        <is>
          <t>data</t>
        </is>
      </c>
      <c r="D77" s="12" t="inlineStr">
        <is>
          <t>data</t>
        </is>
      </c>
      <c r="E77" s="11" t="inlineStr">
        <is>
          <t>implementation-operating-system</t>
        </is>
      </c>
      <c r="F77" s="11" t="inlineStr">
        <is>
          <t>schemas/request.schema.json</t>
        </is>
      </c>
      <c r="G77" s="12" t="inlineStr">
        <is>
          <t>9acd25a</t>
        </is>
      </c>
      <c r="H77" s="11" t="b">
        <v>1</v>
      </c>
    </row>
    <row r="78">
      <c r="A78" s="11" t="inlineStr">
        <is>
          <t>LKP-000074</t>
        </is>
      </c>
      <c r="B78" s="11" t="inlineStr">
        <is>
          <t>request_type</t>
        </is>
      </c>
      <c r="C78" s="12" t="inlineStr">
        <is>
          <t>training</t>
        </is>
      </c>
      <c r="D78" s="12" t="inlineStr">
        <is>
          <t>training</t>
        </is>
      </c>
      <c r="E78" s="11" t="inlineStr">
        <is>
          <t>implementation-operating-system</t>
        </is>
      </c>
      <c r="F78" s="11" t="inlineStr">
        <is>
          <t>schemas/request.schema.json</t>
        </is>
      </c>
      <c r="G78" s="12" t="inlineStr">
        <is>
          <t>9acd25a</t>
        </is>
      </c>
      <c r="H78" s="11" t="b">
        <v>1</v>
      </c>
    </row>
    <row r="79">
      <c r="A79" s="11" t="inlineStr">
        <is>
          <t>LKP-000075</t>
        </is>
      </c>
      <c r="B79" s="11" t="inlineStr">
        <is>
          <t>request_type</t>
        </is>
      </c>
      <c r="C79" s="12" t="inlineStr">
        <is>
          <t>support</t>
        </is>
      </c>
      <c r="D79" s="12" t="inlineStr">
        <is>
          <t>support</t>
        </is>
      </c>
      <c r="E79" s="11" t="inlineStr">
        <is>
          <t>implementation-operating-system</t>
        </is>
      </c>
      <c r="F79" s="11" t="inlineStr">
        <is>
          <t>schemas/request.schema.json</t>
        </is>
      </c>
      <c r="G79" s="12" t="inlineStr">
        <is>
          <t>9acd25a</t>
        </is>
      </c>
      <c r="H79" s="11" t="b">
        <v>1</v>
      </c>
    </row>
    <row r="80">
      <c r="A80" s="11" t="inlineStr">
        <is>
          <t>LKP-000076</t>
        </is>
      </c>
      <c r="B80" s="11" t="inlineStr">
        <is>
          <t>request_priority</t>
        </is>
      </c>
      <c r="C80" s="12" t="inlineStr">
        <is>
          <t>low</t>
        </is>
      </c>
      <c r="D80" s="12" t="inlineStr">
        <is>
          <t>low</t>
        </is>
      </c>
      <c r="E80" s="11" t="inlineStr">
        <is>
          <t>implementation-operating-system</t>
        </is>
      </c>
      <c r="F80" s="11" t="inlineStr">
        <is>
          <t>schemas/request.schema.json</t>
        </is>
      </c>
      <c r="G80" s="12" t="inlineStr">
        <is>
          <t>9acd25a</t>
        </is>
      </c>
      <c r="H80" s="11" t="b">
        <v>1</v>
      </c>
    </row>
    <row r="81">
      <c r="A81" s="11" t="inlineStr">
        <is>
          <t>LKP-000077</t>
        </is>
      </c>
      <c r="B81" s="11" t="inlineStr">
        <is>
          <t>request_priority</t>
        </is>
      </c>
      <c r="C81" s="12" t="inlineStr">
        <is>
          <t>normal</t>
        </is>
      </c>
      <c r="D81" s="12" t="inlineStr">
        <is>
          <t>normal</t>
        </is>
      </c>
      <c r="E81" s="11" t="inlineStr">
        <is>
          <t>implementation-operating-system</t>
        </is>
      </c>
      <c r="F81" s="11" t="inlineStr">
        <is>
          <t>schemas/request.schema.json</t>
        </is>
      </c>
      <c r="G81" s="12" t="inlineStr">
        <is>
          <t>9acd25a</t>
        </is>
      </c>
      <c r="H81" s="11" t="b">
        <v>1</v>
      </c>
    </row>
    <row r="82">
      <c r="A82" s="11" t="inlineStr">
        <is>
          <t>LKP-000078</t>
        </is>
      </c>
      <c r="B82" s="11" t="inlineStr">
        <is>
          <t>request_priority</t>
        </is>
      </c>
      <c r="C82" s="12" t="inlineStr">
        <is>
          <t>high</t>
        </is>
      </c>
      <c r="D82" s="12" t="inlineStr">
        <is>
          <t>high</t>
        </is>
      </c>
      <c r="E82" s="11" t="inlineStr">
        <is>
          <t>implementation-operating-system</t>
        </is>
      </c>
      <c r="F82" s="11" t="inlineStr">
        <is>
          <t>schemas/request.schema.json</t>
        </is>
      </c>
      <c r="G82" s="12" t="inlineStr">
        <is>
          <t>9acd25a</t>
        </is>
      </c>
      <c r="H82" s="11" t="b">
        <v>1</v>
      </c>
    </row>
    <row r="83">
      <c r="A83" s="11" t="inlineStr">
        <is>
          <t>LKP-000079</t>
        </is>
      </c>
      <c r="B83" s="11" t="inlineStr">
        <is>
          <t>request_priority</t>
        </is>
      </c>
      <c r="C83" s="12" t="inlineStr">
        <is>
          <t>urgent</t>
        </is>
      </c>
      <c r="D83" s="12" t="inlineStr">
        <is>
          <t>urgent</t>
        </is>
      </c>
      <c r="E83" s="11" t="inlineStr">
        <is>
          <t>implementation-operating-system</t>
        </is>
      </c>
      <c r="F83" s="11" t="inlineStr">
        <is>
          <t>schemas/request.schema.json</t>
        </is>
      </c>
      <c r="G83" s="12" t="inlineStr">
        <is>
          <t>9acd25a</t>
        </is>
      </c>
      <c r="H83" s="11" t="b">
        <v>1</v>
      </c>
    </row>
    <row r="84">
      <c r="A84" s="11" t="inlineStr">
        <is>
          <t>LKP-000080</t>
        </is>
      </c>
      <c r="B84" s="11" t="inlineStr">
        <is>
          <t>request_source</t>
        </is>
      </c>
      <c r="C84" s="12" t="inlineStr">
        <is>
          <t>customer</t>
        </is>
      </c>
      <c r="D84" s="12" t="inlineStr">
        <is>
          <t>customer</t>
        </is>
      </c>
      <c r="E84" s="11" t="inlineStr">
        <is>
          <t>implementation-operating-system</t>
        </is>
      </c>
      <c r="F84" s="11" t="inlineStr">
        <is>
          <t>schemas/request.schema.json</t>
        </is>
      </c>
      <c r="G84" s="12" t="inlineStr">
        <is>
          <t>9acd25a</t>
        </is>
      </c>
      <c r="H84" s="11" t="b">
        <v>1</v>
      </c>
    </row>
    <row r="85">
      <c r="A85" s="11" t="inlineStr">
        <is>
          <t>LKP-000081</t>
        </is>
      </c>
      <c r="B85" s="11" t="inlineStr">
        <is>
          <t>request_source</t>
        </is>
      </c>
      <c r="C85" s="12" t="inlineStr">
        <is>
          <t>internal</t>
        </is>
      </c>
      <c r="D85" s="12" t="inlineStr">
        <is>
          <t>internal</t>
        </is>
      </c>
      <c r="E85" s="11" t="inlineStr">
        <is>
          <t>implementation-operating-system</t>
        </is>
      </c>
      <c r="F85" s="11" t="inlineStr">
        <is>
          <t>schemas/request.schema.json</t>
        </is>
      </c>
      <c r="G85" s="12" t="inlineStr">
        <is>
          <t>9acd25a</t>
        </is>
      </c>
      <c r="H85" s="11" t="b">
        <v>1</v>
      </c>
    </row>
    <row r="86">
      <c r="A86" s="11" t="inlineStr">
        <is>
          <t>LKP-000082</t>
        </is>
      </c>
      <c r="B86" s="11" t="inlineStr">
        <is>
          <t>request_source</t>
        </is>
      </c>
      <c r="C86" s="12" t="inlineStr">
        <is>
          <t>partner</t>
        </is>
      </c>
      <c r="D86" s="12" t="inlineStr">
        <is>
          <t>partner</t>
        </is>
      </c>
      <c r="E86" s="11" t="inlineStr">
        <is>
          <t>implementation-operating-system</t>
        </is>
      </c>
      <c r="F86" s="11" t="inlineStr">
        <is>
          <t>schemas/request.schema.json</t>
        </is>
      </c>
      <c r="G86" s="12" t="inlineStr">
        <is>
          <t>9acd25a</t>
        </is>
      </c>
      <c r="H86" s="11" t="b">
        <v>1</v>
      </c>
    </row>
    <row r="87">
      <c r="A87" s="11" t="inlineStr">
        <is>
          <t>LKP-000083</t>
        </is>
      </c>
      <c r="B87" s="11" t="inlineStr">
        <is>
          <t>handoff_status</t>
        </is>
      </c>
      <c r="C87" s="12" t="inlineStr">
        <is>
          <t>requested</t>
        </is>
      </c>
      <c r="D87" s="12" t="inlineStr">
        <is>
          <t>requested</t>
        </is>
      </c>
      <c r="E87" s="11" t="inlineStr">
        <is>
          <t>implementation-operating-system</t>
        </is>
      </c>
      <c r="F87" s="11" t="inlineStr">
        <is>
          <t>schemas/handoff.schema.json</t>
        </is>
      </c>
      <c r="G87" s="12" t="inlineStr">
        <is>
          <t>9acd25a</t>
        </is>
      </c>
      <c r="H87" s="11" t="b">
        <v>1</v>
      </c>
    </row>
    <row r="88">
      <c r="A88" s="11" t="inlineStr">
        <is>
          <t>LKP-000084</t>
        </is>
      </c>
      <c r="B88" s="11" t="inlineStr">
        <is>
          <t>handoff_status</t>
        </is>
      </c>
      <c r="C88" s="12" t="inlineStr">
        <is>
          <t>accepted</t>
        </is>
      </c>
      <c r="D88" s="12" t="inlineStr">
        <is>
          <t>accepted</t>
        </is>
      </c>
      <c r="E88" s="11" t="inlineStr">
        <is>
          <t>implementation-operating-system</t>
        </is>
      </c>
      <c r="F88" s="11" t="inlineStr">
        <is>
          <t>schemas/handoff.schema.json</t>
        </is>
      </c>
      <c r="G88" s="12" t="inlineStr">
        <is>
          <t>9acd25a</t>
        </is>
      </c>
      <c r="H88" s="11" t="b">
        <v>1</v>
      </c>
    </row>
    <row r="89">
      <c r="A89" s="11" t="inlineStr">
        <is>
          <t>LKP-000085</t>
        </is>
      </c>
      <c r="B89" s="11" t="inlineStr">
        <is>
          <t>handoff_status</t>
        </is>
      </c>
      <c r="C89" s="12" t="inlineStr">
        <is>
          <t>rejected</t>
        </is>
      </c>
      <c r="D89" s="12" t="inlineStr">
        <is>
          <t>rejected</t>
        </is>
      </c>
      <c r="E89" s="11" t="inlineStr">
        <is>
          <t>implementation-operating-system</t>
        </is>
      </c>
      <c r="F89" s="11" t="inlineStr">
        <is>
          <t>schemas/handoff.schema.json</t>
        </is>
      </c>
      <c r="G89" s="12" t="inlineStr">
        <is>
          <t>9acd25a</t>
        </is>
      </c>
      <c r="H89" s="11" t="b">
        <v>1</v>
      </c>
    </row>
    <row r="90">
      <c r="A90" s="11" t="inlineStr">
        <is>
          <t>LKP-000086</t>
        </is>
      </c>
      <c r="B90" s="11" t="inlineStr">
        <is>
          <t>handoff_type</t>
        </is>
      </c>
      <c r="C90" s="12" t="inlineStr">
        <is>
          <t>intake</t>
        </is>
      </c>
      <c r="D90" s="12" t="inlineStr">
        <is>
          <t>intake</t>
        </is>
      </c>
      <c r="E90" s="11" t="inlineStr">
        <is>
          <t>implementation-operating-system</t>
        </is>
      </c>
      <c r="F90" s="11" t="inlineStr">
        <is>
          <t>schemas/handoff.schema.json</t>
        </is>
      </c>
      <c r="G90" s="12" t="inlineStr">
        <is>
          <t>9acd25a</t>
        </is>
      </c>
      <c r="H90" s="11" t="b">
        <v>1</v>
      </c>
    </row>
    <row r="91">
      <c r="A91" s="11" t="inlineStr">
        <is>
          <t>LKP-000087</t>
        </is>
      </c>
      <c r="B91" s="11" t="inlineStr">
        <is>
          <t>handoff_type</t>
        </is>
      </c>
      <c r="C91" s="12" t="inlineStr">
        <is>
          <t>phase</t>
        </is>
      </c>
      <c r="D91" s="12" t="inlineStr">
        <is>
          <t>phase</t>
        </is>
      </c>
      <c r="E91" s="11" t="inlineStr">
        <is>
          <t>implementation-operating-system</t>
        </is>
      </c>
      <c r="F91" s="11" t="inlineStr">
        <is>
          <t>schemas/handoff.schema.json</t>
        </is>
      </c>
      <c r="G91" s="12" t="inlineStr">
        <is>
          <t>9acd25a</t>
        </is>
      </c>
      <c r="H91" s="11" t="b">
        <v>1</v>
      </c>
    </row>
    <row r="92">
      <c r="A92" s="11" t="inlineStr">
        <is>
          <t>LKP-000088</t>
        </is>
      </c>
      <c r="B92" s="11" t="inlineStr">
        <is>
          <t>handoff_type</t>
        </is>
      </c>
      <c r="C92" s="12" t="inlineStr">
        <is>
          <t>request</t>
        </is>
      </c>
      <c r="D92" s="12" t="inlineStr">
        <is>
          <t>request</t>
        </is>
      </c>
      <c r="E92" s="11" t="inlineStr">
        <is>
          <t>implementation-operating-system</t>
        </is>
      </c>
      <c r="F92" s="11" t="inlineStr">
        <is>
          <t>schemas/handoff.schema.json</t>
        </is>
      </c>
      <c r="G92" s="12" t="inlineStr">
        <is>
          <t>9acd25a</t>
        </is>
      </c>
      <c r="H92" s="11" t="b">
        <v>1</v>
      </c>
    </row>
    <row r="93">
      <c r="A93" s="11" t="inlineStr">
        <is>
          <t>LKP-000089</t>
        </is>
      </c>
      <c r="B93" s="11" t="inlineStr">
        <is>
          <t>handoff_type</t>
        </is>
      </c>
      <c r="C93" s="12" t="inlineStr">
        <is>
          <t>transition</t>
        </is>
      </c>
      <c r="D93" s="12" t="inlineStr">
        <is>
          <t>transition</t>
        </is>
      </c>
      <c r="E93" s="11" t="inlineStr">
        <is>
          <t>implementation-operating-system</t>
        </is>
      </c>
      <c r="F93" s="11" t="inlineStr">
        <is>
          <t>schemas/handoff.schema.json</t>
        </is>
      </c>
      <c r="G93" s="12" t="inlineStr">
        <is>
          <t>9acd25a</t>
        </is>
      </c>
      <c r="H93" s="11" t="b">
        <v>1</v>
      </c>
    </row>
    <row r="94">
      <c r="A94" s="11" t="inlineStr">
        <is>
          <t>LKP-000090</t>
        </is>
      </c>
      <c r="B94" s="11" t="inlineStr">
        <is>
          <t>risk_status</t>
        </is>
      </c>
      <c r="C94" s="12" t="inlineStr">
        <is>
          <t>open</t>
        </is>
      </c>
      <c r="D94" s="12" t="inlineStr">
        <is>
          <t>open</t>
        </is>
      </c>
      <c r="E94" s="11" t="inlineStr">
        <is>
          <t>implementation-operating-system</t>
        </is>
      </c>
      <c r="F94" s="11" t="inlineStr">
        <is>
          <t>schemas/risk.schema.json</t>
        </is>
      </c>
      <c r="G94" s="12" t="inlineStr">
        <is>
          <t>9acd25a</t>
        </is>
      </c>
      <c r="H94" s="11" t="b">
        <v>1</v>
      </c>
    </row>
    <row r="95">
      <c r="A95" s="11" t="inlineStr">
        <is>
          <t>LKP-000091</t>
        </is>
      </c>
      <c r="B95" s="11" t="inlineStr">
        <is>
          <t>risk_status</t>
        </is>
      </c>
      <c r="C95" s="12" t="inlineStr">
        <is>
          <t>mitigating</t>
        </is>
      </c>
      <c r="D95" s="12" t="inlineStr">
        <is>
          <t>mitigating</t>
        </is>
      </c>
      <c r="E95" s="11" t="inlineStr">
        <is>
          <t>implementation-operating-system</t>
        </is>
      </c>
      <c r="F95" s="11" t="inlineStr">
        <is>
          <t>schemas/risk.schema.json</t>
        </is>
      </c>
      <c r="G95" s="12" t="inlineStr">
        <is>
          <t>9acd25a</t>
        </is>
      </c>
      <c r="H95" s="11" t="b">
        <v>1</v>
      </c>
    </row>
    <row r="96">
      <c r="A96" s="11" t="inlineStr">
        <is>
          <t>LKP-000092</t>
        </is>
      </c>
      <c r="B96" s="11" t="inlineStr">
        <is>
          <t>risk_status</t>
        </is>
      </c>
      <c r="C96" s="12" t="inlineStr">
        <is>
          <t>accepted</t>
        </is>
      </c>
      <c r="D96" s="12" t="inlineStr">
        <is>
          <t>accepted</t>
        </is>
      </c>
      <c r="E96" s="11" t="inlineStr">
        <is>
          <t>implementation-operating-system</t>
        </is>
      </c>
      <c r="F96" s="11" t="inlineStr">
        <is>
          <t>schemas/risk.schema.json</t>
        </is>
      </c>
      <c r="G96" s="12" t="inlineStr">
        <is>
          <t>9acd25a</t>
        </is>
      </c>
      <c r="H96" s="11" t="b">
        <v>1</v>
      </c>
    </row>
    <row r="97">
      <c r="A97" s="11" t="inlineStr">
        <is>
          <t>LKP-000093</t>
        </is>
      </c>
      <c r="B97" s="11" t="inlineStr">
        <is>
          <t>risk_status</t>
        </is>
      </c>
      <c r="C97" s="12" t="inlineStr">
        <is>
          <t>closed</t>
        </is>
      </c>
      <c r="D97" s="12" t="inlineStr">
        <is>
          <t>closed</t>
        </is>
      </c>
      <c r="E97" s="11" t="inlineStr">
        <is>
          <t>implementation-operating-system</t>
        </is>
      </c>
      <c r="F97" s="11" t="inlineStr">
        <is>
          <t>schemas/risk.schema.json</t>
        </is>
      </c>
      <c r="G97" s="12" t="inlineStr">
        <is>
          <t>9acd25a</t>
        </is>
      </c>
      <c r="H97" s="11" t="b">
        <v>1</v>
      </c>
    </row>
    <row r="98">
      <c r="A98" s="11" t="inlineStr">
        <is>
          <t>LKP-000094</t>
        </is>
      </c>
      <c r="B98" s="11" t="inlineStr">
        <is>
          <t>issue_status</t>
        </is>
      </c>
      <c r="C98" s="12" t="inlineStr">
        <is>
          <t>open</t>
        </is>
      </c>
      <c r="D98" s="12" t="inlineStr">
        <is>
          <t>open</t>
        </is>
      </c>
      <c r="E98" s="11" t="inlineStr">
        <is>
          <t>implementation-operating-system</t>
        </is>
      </c>
      <c r="F98" s="11" t="inlineStr">
        <is>
          <t>schemas/issue.schema.json</t>
        </is>
      </c>
      <c r="G98" s="12" t="inlineStr">
        <is>
          <t>9acd25a</t>
        </is>
      </c>
      <c r="H98" s="11" t="b">
        <v>1</v>
      </c>
    </row>
    <row r="99">
      <c r="A99" s="11" t="inlineStr">
        <is>
          <t>LKP-000095</t>
        </is>
      </c>
      <c r="B99" s="11" t="inlineStr">
        <is>
          <t>issue_status</t>
        </is>
      </c>
      <c r="C99" s="12" t="inlineStr">
        <is>
          <t>in_progress</t>
        </is>
      </c>
      <c r="D99" s="12" t="inlineStr">
        <is>
          <t>in_progress</t>
        </is>
      </c>
      <c r="E99" s="11" t="inlineStr">
        <is>
          <t>implementation-operating-system</t>
        </is>
      </c>
      <c r="F99" s="11" t="inlineStr">
        <is>
          <t>schemas/issue.schema.json</t>
        </is>
      </c>
      <c r="G99" s="12" t="inlineStr">
        <is>
          <t>9acd25a</t>
        </is>
      </c>
      <c r="H99" s="11" t="b">
        <v>1</v>
      </c>
    </row>
    <row r="100">
      <c r="A100" s="11" t="inlineStr">
        <is>
          <t>LKP-000096</t>
        </is>
      </c>
      <c r="B100" s="11" t="inlineStr">
        <is>
          <t>issue_status</t>
        </is>
      </c>
      <c r="C100" s="12" t="inlineStr">
        <is>
          <t>resolved</t>
        </is>
      </c>
      <c r="D100" s="12" t="inlineStr">
        <is>
          <t>resolved</t>
        </is>
      </c>
      <c r="E100" s="11" t="inlineStr">
        <is>
          <t>implementation-operating-system</t>
        </is>
      </c>
      <c r="F100" s="11" t="inlineStr">
        <is>
          <t>schemas/issue.schema.json</t>
        </is>
      </c>
      <c r="G100" s="12" t="inlineStr">
        <is>
          <t>9acd25a</t>
        </is>
      </c>
      <c r="H100" s="11" t="b">
        <v>1</v>
      </c>
    </row>
    <row r="101">
      <c r="A101" s="11" t="inlineStr">
        <is>
          <t>LKP-000097</t>
        </is>
      </c>
      <c r="B101" s="11" t="inlineStr">
        <is>
          <t>issue_status</t>
        </is>
      </c>
      <c r="C101" s="12" t="inlineStr">
        <is>
          <t>closed</t>
        </is>
      </c>
      <c r="D101" s="12" t="inlineStr">
        <is>
          <t>closed</t>
        </is>
      </c>
      <c r="E101" s="11" t="inlineStr">
        <is>
          <t>implementation-operating-system</t>
        </is>
      </c>
      <c r="F101" s="11" t="inlineStr">
        <is>
          <t>schemas/issue.schema.json</t>
        </is>
      </c>
      <c r="G101" s="12" t="inlineStr">
        <is>
          <t>9acd25a</t>
        </is>
      </c>
      <c r="H101" s="11" t="b">
        <v>1</v>
      </c>
    </row>
    <row r="102">
      <c r="A102" s="11" t="inlineStr">
        <is>
          <t>LKP-000098</t>
        </is>
      </c>
      <c r="B102" s="11" t="inlineStr">
        <is>
          <t>severity</t>
        </is>
      </c>
      <c r="C102" s="12" t="inlineStr">
        <is>
          <t>sev1</t>
        </is>
      </c>
      <c r="D102" s="12" t="inlineStr">
        <is>
          <t>Sev 1</t>
        </is>
      </c>
      <c r="E102" s="11" t="inlineStr">
        <is>
          <t>implementation-operating-system</t>
        </is>
      </c>
      <c r="F102" s="11" t="inlineStr">
        <is>
          <t>standard/severity-scale.yaml</t>
        </is>
      </c>
      <c r="G102" s="12" t="inlineStr">
        <is>
          <t>9acd25a</t>
        </is>
      </c>
      <c r="H102" s="11" t="b">
        <v>1</v>
      </c>
    </row>
    <row r="103">
      <c r="A103" s="11" t="inlineStr">
        <is>
          <t>LKP-000099</t>
        </is>
      </c>
      <c r="B103" s="11" t="inlineStr">
        <is>
          <t>severity</t>
        </is>
      </c>
      <c r="C103" s="12" t="inlineStr">
        <is>
          <t>sev2</t>
        </is>
      </c>
      <c r="D103" s="12" t="inlineStr">
        <is>
          <t>Sev 2</t>
        </is>
      </c>
      <c r="E103" s="11" t="inlineStr">
        <is>
          <t>implementation-operating-system</t>
        </is>
      </c>
      <c r="F103" s="11" t="inlineStr">
        <is>
          <t>standard/severity-scale.yaml</t>
        </is>
      </c>
      <c r="G103" s="12" t="inlineStr">
        <is>
          <t>9acd25a</t>
        </is>
      </c>
      <c r="H103" s="11" t="b">
        <v>1</v>
      </c>
    </row>
    <row r="104">
      <c r="A104" s="11" t="inlineStr">
        <is>
          <t>LKP-000100</t>
        </is>
      </c>
      <c r="B104" s="11" t="inlineStr">
        <is>
          <t>severity</t>
        </is>
      </c>
      <c r="C104" s="12" t="inlineStr">
        <is>
          <t>sev3</t>
        </is>
      </c>
      <c r="D104" s="12" t="inlineStr">
        <is>
          <t>Sev 3</t>
        </is>
      </c>
      <c r="E104" s="11" t="inlineStr">
        <is>
          <t>implementation-operating-system</t>
        </is>
      </c>
      <c r="F104" s="11" t="inlineStr">
        <is>
          <t>standard/severity-scale.yaml</t>
        </is>
      </c>
      <c r="G104" s="12" t="inlineStr">
        <is>
          <t>9acd25a</t>
        </is>
      </c>
      <c r="H104" s="11" t="b">
        <v>1</v>
      </c>
    </row>
    <row r="105">
      <c r="A105" s="11" t="inlineStr">
        <is>
          <t>LKP-000101</t>
        </is>
      </c>
      <c r="B105" s="11" t="inlineStr">
        <is>
          <t>severity</t>
        </is>
      </c>
      <c r="C105" s="12" t="inlineStr">
        <is>
          <t>sev4</t>
        </is>
      </c>
      <c r="D105" s="12" t="inlineStr">
        <is>
          <t>Sev 4</t>
        </is>
      </c>
      <c r="E105" s="11" t="inlineStr">
        <is>
          <t>implementation-operating-system</t>
        </is>
      </c>
      <c r="F105" s="11" t="inlineStr">
        <is>
          <t>standard/severity-scale.yaml</t>
        </is>
      </c>
      <c r="G105" s="12" t="inlineStr">
        <is>
          <t>9acd25a</t>
        </is>
      </c>
      <c r="H105" s="11" t="b">
        <v>1</v>
      </c>
    </row>
    <row r="106">
      <c r="A106" s="11" t="inlineStr">
        <is>
          <t>LKP-000102</t>
        </is>
      </c>
      <c r="B106" s="11" t="inlineStr">
        <is>
          <t>readiness_category</t>
        </is>
      </c>
      <c r="C106" s="12" t="inlineStr">
        <is>
          <t>people</t>
        </is>
      </c>
      <c r="D106" s="12" t="inlineStr">
        <is>
          <t>People</t>
        </is>
      </c>
      <c r="E106" s="11" t="inlineStr">
        <is>
          <t>implementation-operating-system</t>
        </is>
      </c>
      <c r="F106" s="11" t="inlineStr">
        <is>
          <t>standard/readiness-categories.yaml</t>
        </is>
      </c>
      <c r="G106" s="12" t="inlineStr">
        <is>
          <t>9acd25a</t>
        </is>
      </c>
      <c r="H106" s="11" t="b">
        <v>1</v>
      </c>
    </row>
    <row r="107">
      <c r="A107" s="11" t="inlineStr">
        <is>
          <t>LKP-000103</t>
        </is>
      </c>
      <c r="B107" s="11" t="inlineStr">
        <is>
          <t>readiness_category</t>
        </is>
      </c>
      <c r="C107" s="12" t="inlineStr">
        <is>
          <t>process</t>
        </is>
      </c>
      <c r="D107" s="12" t="inlineStr">
        <is>
          <t>Process</t>
        </is>
      </c>
      <c r="E107" s="11" t="inlineStr">
        <is>
          <t>implementation-operating-system</t>
        </is>
      </c>
      <c r="F107" s="11" t="inlineStr">
        <is>
          <t>standard/readiness-categories.yaml</t>
        </is>
      </c>
      <c r="G107" s="12" t="inlineStr">
        <is>
          <t>9acd25a</t>
        </is>
      </c>
      <c r="H107" s="11" t="b">
        <v>1</v>
      </c>
    </row>
    <row r="108">
      <c r="A108" s="11" t="inlineStr">
        <is>
          <t>LKP-000104</t>
        </is>
      </c>
      <c r="B108" s="11" t="inlineStr">
        <is>
          <t>readiness_category</t>
        </is>
      </c>
      <c r="C108" s="12" t="inlineStr">
        <is>
          <t>technology</t>
        </is>
      </c>
      <c r="D108" s="12" t="inlineStr">
        <is>
          <t>Technology</t>
        </is>
      </c>
      <c r="E108" s="11" t="inlineStr">
        <is>
          <t>implementation-operating-system</t>
        </is>
      </c>
      <c r="F108" s="11" t="inlineStr">
        <is>
          <t>standard/readiness-categories.yaml</t>
        </is>
      </c>
      <c r="G108" s="12" t="inlineStr">
        <is>
          <t>9acd25a</t>
        </is>
      </c>
      <c r="H108" s="11" t="b">
        <v>1</v>
      </c>
    </row>
    <row r="109">
      <c r="A109" s="11" t="inlineStr">
        <is>
          <t>LKP-000105</t>
        </is>
      </c>
      <c r="B109" s="11" t="inlineStr">
        <is>
          <t>readiness_category</t>
        </is>
      </c>
      <c r="C109" s="12" t="inlineStr">
        <is>
          <t>data</t>
        </is>
      </c>
      <c r="D109" s="12" t="inlineStr">
        <is>
          <t>Data</t>
        </is>
      </c>
      <c r="E109" s="11" t="inlineStr">
        <is>
          <t>implementation-operating-system</t>
        </is>
      </c>
      <c r="F109" s="11" t="inlineStr">
        <is>
          <t>standard/readiness-categories.yaml</t>
        </is>
      </c>
      <c r="G109" s="12" t="inlineStr">
        <is>
          <t>9acd25a</t>
        </is>
      </c>
      <c r="H109" s="11" t="b">
        <v>1</v>
      </c>
    </row>
    <row r="110">
      <c r="A110" s="11" t="inlineStr">
        <is>
          <t>LKP-000106</t>
        </is>
      </c>
      <c r="B110" s="11" t="inlineStr">
        <is>
          <t>readiness_category</t>
        </is>
      </c>
      <c r="C110" s="12" t="inlineStr">
        <is>
          <t>training</t>
        </is>
      </c>
      <c r="D110" s="12" t="inlineStr">
        <is>
          <t>Training</t>
        </is>
      </c>
      <c r="E110" s="11" t="inlineStr">
        <is>
          <t>implementation-operating-system</t>
        </is>
      </c>
      <c r="F110" s="11" t="inlineStr">
        <is>
          <t>standard/readiness-categories.yaml</t>
        </is>
      </c>
      <c r="G110" s="12" t="inlineStr">
        <is>
          <t>9acd25a</t>
        </is>
      </c>
      <c r="H110" s="11" t="b">
        <v>1</v>
      </c>
    </row>
    <row r="111">
      <c r="A111" s="11" t="inlineStr">
        <is>
          <t>LKP-000107</t>
        </is>
      </c>
      <c r="B111" s="11" t="inlineStr">
        <is>
          <t>readiness_category</t>
        </is>
      </c>
      <c r="C111" s="12" t="inlineStr">
        <is>
          <t>support</t>
        </is>
      </c>
      <c r="D111" s="12" t="inlineStr">
        <is>
          <t>Support</t>
        </is>
      </c>
      <c r="E111" s="11" t="inlineStr">
        <is>
          <t>implementation-operating-system</t>
        </is>
      </c>
      <c r="F111" s="11" t="inlineStr">
        <is>
          <t>standard/readiness-categories.yaml</t>
        </is>
      </c>
      <c r="G111" s="12" t="inlineStr">
        <is>
          <t>9acd25a</t>
        </is>
      </c>
      <c r="H111" s="11" t="b">
        <v>1</v>
      </c>
    </row>
    <row r="112">
      <c r="A112" s="11" t="inlineStr">
        <is>
          <t>LKP-000108</t>
        </is>
      </c>
      <c r="B112" s="11" t="inlineStr">
        <is>
          <t>assessment_purpose</t>
        </is>
      </c>
      <c r="C112" s="12" t="inlineStr">
        <is>
          <t>pre_assessment</t>
        </is>
      </c>
      <c r="D112" s="12" t="inlineStr">
        <is>
          <t>pre_assessment</t>
        </is>
      </c>
      <c r="E112" s="11" t="inlineStr">
        <is>
          <t>implementation-operating-system</t>
        </is>
      </c>
      <c r="F112" s="11" t="inlineStr">
        <is>
          <t>schemas/readiness-scorecard.schema.json</t>
        </is>
      </c>
      <c r="G112" s="12" t="inlineStr">
        <is>
          <t>9acd25a</t>
        </is>
      </c>
      <c r="H112" s="11" t="b">
        <v>1</v>
      </c>
    </row>
    <row r="113">
      <c r="A113" s="11" t="inlineStr">
        <is>
          <t>LKP-000109</t>
        </is>
      </c>
      <c r="B113" s="11" t="inlineStr">
        <is>
          <t>assessment_purpose</t>
        </is>
      </c>
      <c r="C113" s="12" t="inlineStr">
        <is>
          <t>launch_review</t>
        </is>
      </c>
      <c r="D113" s="12" t="inlineStr">
        <is>
          <t>launch_review</t>
        </is>
      </c>
      <c r="E113" s="11" t="inlineStr">
        <is>
          <t>implementation-operating-system</t>
        </is>
      </c>
      <c r="F113" s="11" t="inlineStr">
        <is>
          <t>schemas/readiness-scorecard.schema.json</t>
        </is>
      </c>
      <c r="G113" s="12" t="inlineStr">
        <is>
          <t>9acd25a</t>
        </is>
      </c>
      <c r="H113" s="11" t="b">
        <v>1</v>
      </c>
    </row>
    <row r="114">
      <c r="A114" s="11" t="inlineStr">
        <is>
          <t>LKP-000110</t>
        </is>
      </c>
      <c r="B114" s="11" t="inlineStr">
        <is>
          <t>actor_type</t>
        </is>
      </c>
      <c r="C114" s="12" t="inlineStr">
        <is>
          <t>human</t>
        </is>
      </c>
      <c r="D114" s="12" t="inlineStr">
        <is>
          <t>human</t>
        </is>
      </c>
      <c r="E114" s="11" t="inlineStr">
        <is>
          <t>implementation-operating-system</t>
        </is>
      </c>
      <c r="F114" s="11" t="inlineStr">
        <is>
          <t>standard/schemas/event.schema.json</t>
        </is>
      </c>
      <c r="G114" s="12" t="inlineStr">
        <is>
          <t>9acd25a</t>
        </is>
      </c>
      <c r="H114" s="11" t="b">
        <v>1</v>
      </c>
    </row>
    <row r="115">
      <c r="A115" s="11" t="inlineStr">
        <is>
          <t>LKP-000111</t>
        </is>
      </c>
      <c r="B115" s="11" t="inlineStr">
        <is>
          <t>actor_type</t>
        </is>
      </c>
      <c r="C115" s="12" t="inlineStr">
        <is>
          <t>system</t>
        </is>
      </c>
      <c r="D115" s="12" t="inlineStr">
        <is>
          <t>system</t>
        </is>
      </c>
      <c r="E115" s="11" t="inlineStr">
        <is>
          <t>implementation-operating-system</t>
        </is>
      </c>
      <c r="F115" s="11" t="inlineStr">
        <is>
          <t>standard/schemas/event.schema.json</t>
        </is>
      </c>
      <c r="G115" s="12" t="inlineStr">
        <is>
          <t>9acd25a</t>
        </is>
      </c>
      <c r="H115" s="11" t="b">
        <v>1</v>
      </c>
    </row>
    <row r="116">
      <c r="A116" s="11" t="inlineStr">
        <is>
          <t>LKP-000112</t>
        </is>
      </c>
      <c r="B116" s="11" t="inlineStr">
        <is>
          <t>actor_type</t>
        </is>
      </c>
      <c r="C116" s="12" t="inlineStr">
        <is>
          <t>ai_agent</t>
        </is>
      </c>
      <c r="D116" s="12" t="inlineStr">
        <is>
          <t>ai_agent</t>
        </is>
      </c>
      <c r="E116" s="11" t="inlineStr">
        <is>
          <t>implementation-operating-system</t>
        </is>
      </c>
      <c r="F116" s="11" t="inlineStr">
        <is>
          <t>standard/schemas/event.schema.json</t>
        </is>
      </c>
      <c r="G116" s="12" t="inlineStr">
        <is>
          <t>9acd25a</t>
        </is>
      </c>
      <c r="H116" s="11" t="b">
        <v>1</v>
      </c>
    </row>
    <row r="117">
      <c r="A117" s="11" t="inlineStr">
        <is>
          <t>LKP-000113</t>
        </is>
      </c>
      <c r="B117" s="11" t="inlineStr">
        <is>
          <t>event_type</t>
        </is>
      </c>
      <c r="C117" s="12" t="inlineStr">
        <is>
          <t>gate.assessed</t>
        </is>
      </c>
      <c r="D117" s="12" t="inlineStr">
        <is>
          <t>gate_assessment</t>
        </is>
      </c>
      <c r="E117" s="11" t="inlineStr">
        <is>
          <t>implementation-operating-system</t>
        </is>
      </c>
      <c r="F117" s="11" t="inlineStr">
        <is>
          <t>standard/event-catalog.yaml</t>
        </is>
      </c>
      <c r="G117" s="12" t="inlineStr">
        <is>
          <t>9acd25a</t>
        </is>
      </c>
      <c r="H117" s="11" t="b">
        <v>1</v>
      </c>
    </row>
    <row r="118">
      <c r="A118" s="11" t="inlineStr">
        <is>
          <t>LKP-000114</t>
        </is>
      </c>
      <c r="B118" s="11" t="inlineStr">
        <is>
          <t>event_type</t>
        </is>
      </c>
      <c r="C118" s="12" t="inlineStr">
        <is>
          <t>handoff.completed</t>
        </is>
      </c>
      <c r="D118" s="12" t="inlineStr">
        <is>
          <t>handoff</t>
        </is>
      </c>
      <c r="E118" s="11" t="inlineStr">
        <is>
          <t>implementation-operating-system</t>
        </is>
      </c>
      <c r="F118" s="11" t="inlineStr">
        <is>
          <t>standard/event-catalog.yaml</t>
        </is>
      </c>
      <c r="G118" s="12" t="inlineStr">
        <is>
          <t>9acd25a</t>
        </is>
      </c>
      <c r="H118" s="11" t="b">
        <v>1</v>
      </c>
    </row>
    <row r="119">
      <c r="A119" s="11" t="inlineStr">
        <is>
          <t>LKP-000115</t>
        </is>
      </c>
      <c r="B119" s="11" t="inlineStr">
        <is>
          <t>event_type</t>
        </is>
      </c>
      <c r="C119" s="12" t="inlineStr">
        <is>
          <t>improvement.logged</t>
        </is>
      </c>
      <c r="D119" s="12" t="inlineStr">
        <is>
          <t>improvement_item</t>
        </is>
      </c>
      <c r="E119" s="11" t="inlineStr">
        <is>
          <t>implementation-operating-system</t>
        </is>
      </c>
      <c r="F119" s="11" t="inlineStr">
        <is>
          <t>standard/event-catalog.yaml</t>
        </is>
      </c>
      <c r="G119" s="12" t="inlineStr">
        <is>
          <t>9acd25a</t>
        </is>
      </c>
      <c r="H119" s="11" t="b">
        <v>1</v>
      </c>
    </row>
    <row r="120">
      <c r="A120" s="11" t="inlineStr">
        <is>
          <t>LKP-000116</t>
        </is>
      </c>
      <c r="B120" s="11" t="inlineStr">
        <is>
          <t>event_type</t>
        </is>
      </c>
      <c r="C120" s="12" t="inlineStr">
        <is>
          <t>issue.logged</t>
        </is>
      </c>
      <c r="D120" s="12" t="inlineStr">
        <is>
          <t>issue</t>
        </is>
      </c>
      <c r="E120" s="11" t="inlineStr">
        <is>
          <t>implementation-operating-system</t>
        </is>
      </c>
      <c r="F120" s="11" t="inlineStr">
        <is>
          <t>standard/event-catalog.yaml</t>
        </is>
      </c>
      <c r="G120" s="12" t="inlineStr">
        <is>
          <t>9acd25a</t>
        </is>
      </c>
      <c r="H120" s="11" t="b">
        <v>1</v>
      </c>
    </row>
    <row r="121">
      <c r="A121" s="11" t="inlineStr">
        <is>
          <t>LKP-000117</t>
        </is>
      </c>
      <c r="B121" s="11" t="inlineStr">
        <is>
          <t>event_type</t>
        </is>
      </c>
      <c r="C121" s="12" t="inlineStr">
        <is>
          <t>issue.resolved</t>
        </is>
      </c>
      <c r="D121" s="12" t="inlineStr">
        <is>
          <t>issue</t>
        </is>
      </c>
      <c r="E121" s="11" t="inlineStr">
        <is>
          <t>implementation-operating-system</t>
        </is>
      </c>
      <c r="F121" s="11" t="inlineStr">
        <is>
          <t>standard/event-catalog.yaml</t>
        </is>
      </c>
      <c r="G121" s="12" t="inlineStr">
        <is>
          <t>9acd25a</t>
        </is>
      </c>
      <c r="H121" s="11" t="b">
        <v>1</v>
      </c>
    </row>
    <row r="122">
      <c r="A122" s="11" t="inlineStr">
        <is>
          <t>LKP-000118</t>
        </is>
      </c>
      <c r="B122" s="11" t="inlineStr">
        <is>
          <t>event_type</t>
        </is>
      </c>
      <c r="C122" s="12" t="inlineStr">
        <is>
          <t>milestone.achieved</t>
        </is>
      </c>
      <c r="D122" s="12" t="inlineStr">
        <is>
          <t>milestone</t>
        </is>
      </c>
      <c r="E122" s="11" t="inlineStr">
        <is>
          <t>implementation-operating-system</t>
        </is>
      </c>
      <c r="F122" s="11" t="inlineStr">
        <is>
          <t>standard/event-catalog.yaml</t>
        </is>
      </c>
      <c r="G122" s="12" t="inlineStr">
        <is>
          <t>9acd25a</t>
        </is>
      </c>
      <c r="H122" s="11" t="b">
        <v>1</v>
      </c>
    </row>
    <row r="123">
      <c r="A123" s="11" t="inlineStr">
        <is>
          <t>LKP-000119</t>
        </is>
      </c>
      <c r="B123" s="11" t="inlineStr">
        <is>
          <t>event_type</t>
        </is>
      </c>
      <c r="C123" s="12" t="inlineStr">
        <is>
          <t>milestone.missed</t>
        </is>
      </c>
      <c r="D123" s="12" t="inlineStr">
        <is>
          <t>milestone</t>
        </is>
      </c>
      <c r="E123" s="11" t="inlineStr">
        <is>
          <t>implementation-operating-system</t>
        </is>
      </c>
      <c r="F123" s="11" t="inlineStr">
        <is>
          <t>standard/event-catalog.yaml</t>
        </is>
      </c>
      <c r="G123" s="12" t="inlineStr">
        <is>
          <t>9acd25a</t>
        </is>
      </c>
      <c r="H123" s="11" t="b">
        <v>1</v>
      </c>
    </row>
    <row r="124">
      <c r="A124" s="11" t="inlineStr">
        <is>
          <t>LKP-000120</t>
        </is>
      </c>
      <c r="B124" s="11" t="inlineStr">
        <is>
          <t>event_type</t>
        </is>
      </c>
      <c r="C124" s="12" t="inlineStr">
        <is>
          <t>phase.entered</t>
        </is>
      </c>
      <c r="D124" s="12" t="inlineStr">
        <is>
          <t>phase</t>
        </is>
      </c>
      <c r="E124" s="11" t="inlineStr">
        <is>
          <t>implementation-operating-system</t>
        </is>
      </c>
      <c r="F124" s="11" t="inlineStr">
        <is>
          <t>standard/event-catalog.yaml</t>
        </is>
      </c>
      <c r="G124" s="12" t="inlineStr">
        <is>
          <t>9acd25a</t>
        </is>
      </c>
      <c r="H124" s="11" t="b">
        <v>1</v>
      </c>
    </row>
    <row r="125">
      <c r="A125" s="11" t="inlineStr">
        <is>
          <t>LKP-000121</t>
        </is>
      </c>
      <c r="B125" s="11" t="inlineStr">
        <is>
          <t>event_type</t>
        </is>
      </c>
      <c r="C125" s="12" t="inlineStr">
        <is>
          <t>phase.exited</t>
        </is>
      </c>
      <c r="D125" s="12" t="inlineStr">
        <is>
          <t>phase</t>
        </is>
      </c>
      <c r="E125" s="11" t="inlineStr">
        <is>
          <t>implementation-operating-system</t>
        </is>
      </c>
      <c r="F125" s="11" t="inlineStr">
        <is>
          <t>standard/event-catalog.yaml</t>
        </is>
      </c>
      <c r="G125" s="12" t="inlineStr">
        <is>
          <t>9acd25a</t>
        </is>
      </c>
      <c r="H125" s="11" t="b">
        <v>1</v>
      </c>
    </row>
    <row r="126">
      <c r="A126" s="11" t="inlineStr">
        <is>
          <t>LKP-000122</t>
        </is>
      </c>
      <c r="B126" s="11" t="inlineStr">
        <is>
          <t>event_type</t>
        </is>
      </c>
      <c r="C126" s="12" t="inlineStr">
        <is>
          <t>project.created</t>
        </is>
      </c>
      <c r="D126" s="12" t="inlineStr">
        <is>
          <t>project</t>
        </is>
      </c>
      <c r="E126" s="11" t="inlineStr">
        <is>
          <t>implementation-operating-system</t>
        </is>
      </c>
      <c r="F126" s="11" t="inlineStr">
        <is>
          <t>standard/event-catalog.yaml</t>
        </is>
      </c>
      <c r="G126" s="12" t="inlineStr">
        <is>
          <t>9acd25a</t>
        </is>
      </c>
      <c r="H126" s="11" t="b">
        <v>1</v>
      </c>
    </row>
    <row r="127">
      <c r="A127" s="11" t="inlineStr">
        <is>
          <t>LKP-000123</t>
        </is>
      </c>
      <c r="B127" s="11" t="inlineStr">
        <is>
          <t>event_type</t>
        </is>
      </c>
      <c r="C127" s="12" t="inlineStr">
        <is>
          <t>project.status_changed</t>
        </is>
      </c>
      <c r="D127" s="12" t="inlineStr">
        <is>
          <t>project</t>
        </is>
      </c>
      <c r="E127" s="11" t="inlineStr">
        <is>
          <t>implementation-operating-system</t>
        </is>
      </c>
      <c r="F127" s="11" t="inlineStr">
        <is>
          <t>standard/event-catalog.yaml</t>
        </is>
      </c>
      <c r="G127" s="12" t="inlineStr">
        <is>
          <t>9acd25a</t>
        </is>
      </c>
      <c r="H127" s="11" t="b">
        <v>1</v>
      </c>
    </row>
    <row r="128">
      <c r="A128" s="11" t="inlineStr">
        <is>
          <t>LKP-000124</t>
        </is>
      </c>
      <c r="B128" s="11" t="inlineStr">
        <is>
          <t>event_type</t>
        </is>
      </c>
      <c r="C128" s="12" t="inlineStr">
        <is>
          <t>readiness.scored</t>
        </is>
      </c>
      <c r="D128" s="12" t="inlineStr">
        <is>
          <t>readiness_scorecard</t>
        </is>
      </c>
      <c r="E128" s="11" t="inlineStr">
        <is>
          <t>implementation-operating-system</t>
        </is>
      </c>
      <c r="F128" s="11" t="inlineStr">
        <is>
          <t>standard/event-catalog.yaml</t>
        </is>
      </c>
      <c r="G128" s="12" t="inlineStr">
        <is>
          <t>9acd25a</t>
        </is>
      </c>
      <c r="H128" s="11" t="b">
        <v>1</v>
      </c>
    </row>
    <row r="129">
      <c r="A129" s="11" t="inlineStr">
        <is>
          <t>LKP-000125</t>
        </is>
      </c>
      <c r="B129" s="11" t="inlineStr">
        <is>
          <t>event_type</t>
        </is>
      </c>
      <c r="C129" s="12" t="inlineStr">
        <is>
          <t>request.escalated</t>
        </is>
      </c>
      <c r="D129" s="12" t="inlineStr">
        <is>
          <t>request</t>
        </is>
      </c>
      <c r="E129" s="11" t="inlineStr">
        <is>
          <t>implementation-operating-system</t>
        </is>
      </c>
      <c r="F129" s="11" t="inlineStr">
        <is>
          <t>standard/event-catalog.yaml</t>
        </is>
      </c>
      <c r="G129" s="12" t="inlineStr">
        <is>
          <t>9acd25a</t>
        </is>
      </c>
      <c r="H129" s="11" t="b">
        <v>1</v>
      </c>
    </row>
    <row r="130">
      <c r="A130" s="11" t="inlineStr">
        <is>
          <t>LKP-000126</t>
        </is>
      </c>
      <c r="B130" s="11" t="inlineStr">
        <is>
          <t>event_type</t>
        </is>
      </c>
      <c r="C130" s="12" t="inlineStr">
        <is>
          <t>request.status_changed</t>
        </is>
      </c>
      <c r="D130" s="12" t="inlineStr">
        <is>
          <t>request</t>
        </is>
      </c>
      <c r="E130" s="11" t="inlineStr">
        <is>
          <t>implementation-operating-system</t>
        </is>
      </c>
      <c r="F130" s="11" t="inlineStr">
        <is>
          <t>standard/event-catalog.yaml</t>
        </is>
      </c>
      <c r="G130" s="12" t="inlineStr">
        <is>
          <t>9acd25a</t>
        </is>
      </c>
      <c r="H130" s="11" t="b">
        <v>1</v>
      </c>
    </row>
    <row r="131">
      <c r="A131" s="11" t="inlineStr">
        <is>
          <t>LKP-000127</t>
        </is>
      </c>
      <c r="B131" s="11" t="inlineStr">
        <is>
          <t>event_type</t>
        </is>
      </c>
      <c r="C131" s="12" t="inlineStr">
        <is>
          <t>request.submitted</t>
        </is>
      </c>
      <c r="D131" s="12" t="inlineStr">
        <is>
          <t>request</t>
        </is>
      </c>
      <c r="E131" s="11" t="inlineStr">
        <is>
          <t>implementation-operating-system</t>
        </is>
      </c>
      <c r="F131" s="11" t="inlineStr">
        <is>
          <t>standard/event-catalog.yaml</t>
        </is>
      </c>
      <c r="G131" s="12" t="inlineStr">
        <is>
          <t>9acd25a</t>
        </is>
      </c>
      <c r="H131" s="11" t="b">
        <v>1</v>
      </c>
    </row>
    <row r="132">
      <c r="A132" s="11" t="inlineStr">
        <is>
          <t>LKP-000128</t>
        </is>
      </c>
      <c r="B132" s="11" t="inlineStr">
        <is>
          <t>event_type</t>
        </is>
      </c>
      <c r="C132" s="12" t="inlineStr">
        <is>
          <t>risk.logged</t>
        </is>
      </c>
      <c r="D132" s="12" t="inlineStr">
        <is>
          <t>risk</t>
        </is>
      </c>
      <c r="E132" s="11" t="inlineStr">
        <is>
          <t>implementation-operating-system</t>
        </is>
      </c>
      <c r="F132" s="11" t="inlineStr">
        <is>
          <t>standard/event-catalog.yaml</t>
        </is>
      </c>
      <c r="G132" s="12" t="inlineStr">
        <is>
          <t>9acd25a</t>
        </is>
      </c>
      <c r="H132" s="11" t="b">
        <v>1</v>
      </c>
    </row>
    <row r="133">
      <c r="A133" s="11" t="inlineStr">
        <is>
          <t>LKP-000129</t>
        </is>
      </c>
      <c r="B133" s="11" t="inlineStr">
        <is>
          <t>event_type</t>
        </is>
      </c>
      <c r="C133" s="12" t="inlineStr">
        <is>
          <t>risk.status_changed</t>
        </is>
      </c>
      <c r="D133" s="12" t="inlineStr">
        <is>
          <t>risk</t>
        </is>
      </c>
      <c r="E133" s="11" t="inlineStr">
        <is>
          <t>implementation-operating-system</t>
        </is>
      </c>
      <c r="F133" s="11" t="inlineStr">
        <is>
          <t>standard/event-catalog.yaml</t>
        </is>
      </c>
      <c r="G133" s="12" t="inlineStr">
        <is>
          <t>9acd25a</t>
        </is>
      </c>
      <c r="H133" s="11" t="b">
        <v>1</v>
      </c>
    </row>
    <row r="134">
      <c r="A134" s="11" t="inlineStr">
        <is>
          <t>LKP-000130</t>
        </is>
      </c>
      <c r="B134" s="11" t="inlineStr">
        <is>
          <t>event_type</t>
        </is>
      </c>
      <c r="C134" s="12" t="inlineStr">
        <is>
          <t>task.status_changed</t>
        </is>
      </c>
      <c r="D134" s="12" t="inlineStr">
        <is>
          <t>task</t>
        </is>
      </c>
      <c r="E134" s="11" t="inlineStr">
        <is>
          <t>implementation-operating-system</t>
        </is>
      </c>
      <c r="F134" s="11" t="inlineStr">
        <is>
          <t>standard/event-catalog.yaml</t>
        </is>
      </c>
      <c r="G134" s="12" t="inlineStr">
        <is>
          <t>9acd25a</t>
        </is>
      </c>
      <c r="H134" s="11" t="b">
        <v>1</v>
      </c>
    </row>
    <row r="135">
      <c r="A135" s="11" t="inlineStr">
        <is>
          <t>LKP-000131</t>
        </is>
      </c>
      <c r="B135" s="11" t="inlineStr">
        <is>
          <t>role_id</t>
        </is>
      </c>
      <c r="C135" s="12" t="inlineStr">
        <is>
          <t>ROL-000001</t>
        </is>
      </c>
      <c r="D135" s="12" t="inlineStr">
        <is>
          <t>implementation_lead</t>
        </is>
      </c>
      <c r="E135" s="11" t="inlineStr">
        <is>
          <t>implementation-operating-system</t>
        </is>
      </c>
      <c r="F135" s="11" t="inlineStr">
        <is>
          <t>data/synthetic/README.md</t>
        </is>
      </c>
      <c r="G135" s="12" t="inlineStr">
        <is>
          <t>9acd25a</t>
        </is>
      </c>
      <c r="H135" s="11" t="b">
        <v>1</v>
      </c>
    </row>
    <row r="136">
      <c r="A136" s="11" t="inlineStr">
        <is>
          <t>LKP-000132</t>
        </is>
      </c>
      <c r="B136" s="11" t="inlineStr">
        <is>
          <t>role_id</t>
        </is>
      </c>
      <c r="C136" s="12" t="inlineStr">
        <is>
          <t>ROL-000002</t>
        </is>
      </c>
      <c r="D136" s="12" t="inlineStr">
        <is>
          <t>customer_sponsor</t>
        </is>
      </c>
      <c r="E136" s="11" t="inlineStr">
        <is>
          <t>implementation-operating-system</t>
        </is>
      </c>
      <c r="F136" s="11" t="inlineStr">
        <is>
          <t>data/synthetic/README.md</t>
        </is>
      </c>
      <c r="G136" s="12" t="inlineStr">
        <is>
          <t>9acd25a</t>
        </is>
      </c>
      <c r="H136" s="11" t="b">
        <v>1</v>
      </c>
    </row>
    <row r="137">
      <c r="A137" s="11" t="inlineStr">
        <is>
          <t>LKP-000133</t>
        </is>
      </c>
      <c r="B137" s="11" t="inlineStr">
        <is>
          <t>role_id</t>
        </is>
      </c>
      <c r="C137" s="12" t="inlineStr">
        <is>
          <t>ROL-000003</t>
        </is>
      </c>
      <c r="D137" s="12" t="inlineStr">
        <is>
          <t>delivery_leadership</t>
        </is>
      </c>
      <c r="E137" s="11" t="inlineStr">
        <is>
          <t>implementation-operating-system</t>
        </is>
      </c>
      <c r="F137" s="11" t="inlineStr">
        <is>
          <t>data/synthetic/README.md</t>
        </is>
      </c>
      <c r="G137" s="12" t="inlineStr">
        <is>
          <t>9acd25a</t>
        </is>
      </c>
      <c r="H137" s="11" t="b">
        <v>1</v>
      </c>
    </row>
    <row r="138">
      <c r="A138" s="11" t="inlineStr">
        <is>
          <t>LKP-000134</t>
        </is>
      </c>
      <c r="B138" s="11" t="inlineStr">
        <is>
          <t>role_id</t>
        </is>
      </c>
      <c r="C138" s="12" t="inlineStr">
        <is>
          <t>ROL-000004</t>
        </is>
      </c>
      <c r="D138" s="12" t="inlineStr">
        <is>
          <t>technical_specialist</t>
        </is>
      </c>
      <c r="E138" s="11" t="inlineStr">
        <is>
          <t>implementation-operating-system</t>
        </is>
      </c>
      <c r="F138" s="11" t="inlineStr">
        <is>
          <t>data/synthetic/README.md</t>
        </is>
      </c>
      <c r="G138" s="12" t="inlineStr">
        <is>
          <t>9acd25a</t>
        </is>
      </c>
      <c r="H138" s="11" t="b">
        <v>1</v>
      </c>
    </row>
    <row r="139">
      <c r="A139" s="11" t="inlineStr">
        <is>
          <t>LKP-000135</t>
        </is>
      </c>
      <c r="B139" s="11" t="inlineStr">
        <is>
          <t>role_id</t>
        </is>
      </c>
      <c r="C139" s="12" t="inlineStr">
        <is>
          <t>ROL-000005</t>
        </is>
      </c>
      <c r="D139" s="12" t="inlineStr">
        <is>
          <t>enablement_lead</t>
        </is>
      </c>
      <c r="E139" s="11" t="inlineStr">
        <is>
          <t>implementation-operating-system</t>
        </is>
      </c>
      <c r="F139" s="11" t="inlineStr">
        <is>
          <t>data/synthetic/README.md</t>
        </is>
      </c>
      <c r="G139" s="12" t="inlineStr">
        <is>
          <t>9acd25a</t>
        </is>
      </c>
      <c r="H139" s="11" t="b">
        <v>1</v>
      </c>
    </row>
    <row r="140">
      <c r="A140" s="11" t="inlineStr">
        <is>
          <t>LKP-000136</t>
        </is>
      </c>
      <c r="B140" s="11" t="inlineStr">
        <is>
          <t>role_id</t>
        </is>
      </c>
      <c r="C140" s="12" t="inlineStr">
        <is>
          <t>ROL-000006</t>
        </is>
      </c>
      <c r="D140" s="12" t="inlineStr">
        <is>
          <t>support_owner</t>
        </is>
      </c>
      <c r="E140" s="11" t="inlineStr">
        <is>
          <t>implementation-operating-system</t>
        </is>
      </c>
      <c r="F140" s="11" t="inlineStr">
        <is>
          <t>data/synthetic/README.md</t>
        </is>
      </c>
      <c r="G140" s="12" t="inlineStr">
        <is>
          <t>9acd25a</t>
        </is>
      </c>
      <c r="H140" s="11" t="b">
        <v>1</v>
      </c>
    </row>
    <row r="141">
      <c r="A141" s="11" t="inlineStr">
        <is>
          <t>LKP-000137</t>
        </is>
      </c>
      <c r="B141" s="11" t="inlineStr">
        <is>
          <t>role_id</t>
        </is>
      </c>
      <c r="C141" s="12" t="inlineStr">
        <is>
          <t>ROL-000007</t>
        </is>
      </c>
      <c r="D141" s="12" t="inlineStr">
        <is>
          <t>customer_contact</t>
        </is>
      </c>
      <c r="E141" s="11" t="inlineStr">
        <is>
          <t>implementation-operating-system</t>
        </is>
      </c>
      <c r="F141" s="11" t="inlineStr">
        <is>
          <t>data/synthetic/README.md</t>
        </is>
      </c>
      <c r="G141" s="12" t="inlineStr">
        <is>
          <t>9acd25a</t>
        </is>
      </c>
      <c r="H141" s="11" t="b">
        <v>1</v>
      </c>
    </row>
    <row r="142">
      <c r="A142" s="11" t="inlineStr">
        <is>
          <t>LKP-000138</t>
        </is>
      </c>
      <c r="B142" s="11" t="inlineStr">
        <is>
          <t>role_id</t>
        </is>
      </c>
      <c r="C142" s="12" t="inlineStr">
        <is>
          <t>ROL-000008</t>
        </is>
      </c>
      <c r="D142" s="12" t="inlineStr">
        <is>
          <t>commercial_owner</t>
        </is>
      </c>
      <c r="E142" s="11" t="inlineStr">
        <is>
          <t>implementation-operating-system</t>
        </is>
      </c>
      <c r="F142" s="11" t="inlineStr">
        <is>
          <t>data/synthetic/README.md</t>
        </is>
      </c>
      <c r="G142" s="12" t="inlineStr">
        <is>
          <t>9acd25a</t>
        </is>
      </c>
      <c r="H142" s="11" t="b">
        <v>1</v>
      </c>
    </row>
    <row r="143">
      <c r="A143" s="11" t="inlineStr">
        <is>
          <t>LKP-000139</t>
        </is>
      </c>
      <c r="B143" s="11" t="inlineStr">
        <is>
          <t>profile_id</t>
        </is>
      </c>
      <c r="C143" s="12" t="inlineStr">
        <is>
          <t>PRF-000001</t>
        </is>
      </c>
      <c r="D143" s="12" t="inlineStr">
        <is>
          <t>Organization stage: startup</t>
        </is>
      </c>
      <c r="E143" s="11" t="inlineStr">
        <is>
          <t>implementation-operating-system</t>
        </is>
      </c>
      <c r="F143" s="11" t="inlineStr">
        <is>
          <t>profiles/examples</t>
        </is>
      </c>
      <c r="G143" s="12" t="inlineStr">
        <is>
          <t>9acd25a</t>
        </is>
      </c>
      <c r="H143" s="11" t="b">
        <v>1</v>
      </c>
    </row>
    <row r="144">
      <c r="A144" s="11" t="inlineStr">
        <is>
          <t>LKP-000140</t>
        </is>
      </c>
      <c r="B144" s="11" t="inlineStr">
        <is>
          <t>profile_id</t>
        </is>
      </c>
      <c r="C144" s="12" t="inlineStr">
        <is>
          <t>PRF-000002</t>
        </is>
      </c>
      <c r="D144" s="12" t="inlineStr">
        <is>
          <t>Complexity tier: standard</t>
        </is>
      </c>
      <c r="E144" s="11" t="inlineStr">
        <is>
          <t>implementation-operating-system</t>
        </is>
      </c>
      <c r="F144" s="11" t="inlineStr">
        <is>
          <t>profiles/examples</t>
        </is>
      </c>
      <c r="G144" s="12" t="inlineStr">
        <is>
          <t>9acd25a</t>
        </is>
      </c>
      <c r="H144" s="11" t="b">
        <v>1</v>
      </c>
    </row>
    <row r="145">
      <c r="A145" s="11" t="inlineStr">
        <is>
          <t>LKP-000141</t>
        </is>
      </c>
      <c r="B145" s="11" t="inlineStr">
        <is>
          <t>profile_id</t>
        </is>
      </c>
      <c r="C145" s="12" t="inlineStr">
        <is>
          <t>PRF-000003</t>
        </is>
      </c>
      <c r="D145" s="12" t="inlineStr">
        <is>
          <t>Service tier: standard</t>
        </is>
      </c>
      <c r="E145" s="11" t="inlineStr">
        <is>
          <t>implementation-operating-system</t>
        </is>
      </c>
      <c r="F145" s="11" t="inlineStr">
        <is>
          <t>profiles/examples</t>
        </is>
      </c>
      <c r="G145" s="12" t="inlineStr">
        <is>
          <t>9acd25a</t>
        </is>
      </c>
      <c r="H145" s="11" t="b">
        <v>1</v>
      </c>
    </row>
    <row r="146">
      <c r="A146" s="11" t="inlineStr">
        <is>
          <t>LKP-000142</t>
        </is>
      </c>
      <c r="B146" s="11" t="inlineStr">
        <is>
          <t>profile_id</t>
        </is>
      </c>
      <c r="C146" s="12" t="inlineStr">
        <is>
          <t>PRF-000004</t>
        </is>
      </c>
      <c r="D146" s="12" t="inlineStr">
        <is>
          <t>Segment: mid-market</t>
        </is>
      </c>
      <c r="E146" s="11" t="inlineStr">
        <is>
          <t>implementation-operating-system</t>
        </is>
      </c>
      <c r="F146" s="11" t="inlineStr">
        <is>
          <t>profiles/examples</t>
        </is>
      </c>
      <c r="G146" s="12" t="inlineStr">
        <is>
          <t>9acd25a</t>
        </is>
      </c>
      <c r="H146" s="11" t="b">
        <v>1</v>
      </c>
    </row>
    <row r="147">
      <c r="A147" s="11" t="inlineStr">
        <is>
          <t>LKP-000143</t>
        </is>
      </c>
      <c r="B147" s="11" t="inlineStr">
        <is>
          <t>rule_id</t>
        </is>
      </c>
      <c r="C147" s="12" t="inlineStr">
        <is>
          <t>RUL-000001</t>
        </is>
      </c>
      <c r="D147" s="12" t="inlineStr">
        <is>
          <t>config/sla-rules.yaml request_triage</t>
        </is>
      </c>
      <c r="E147" s="11" t="inlineStr">
        <is>
          <t>implementation-operating-system</t>
        </is>
      </c>
      <c r="F147" s="11" t="inlineStr">
        <is>
          <t>config</t>
        </is>
      </c>
      <c r="G147" s="12" t="inlineStr">
        <is>
          <t>9acd25a</t>
        </is>
      </c>
      <c r="H147" s="11" t="b">
        <v>1</v>
      </c>
    </row>
    <row r="148">
      <c r="A148" s="11" t="inlineStr">
        <is>
          <t>LKP-000144</t>
        </is>
      </c>
      <c r="B148" s="11" t="inlineStr">
        <is>
          <t>rule_id</t>
        </is>
      </c>
      <c r="C148" s="12" t="inlineStr">
        <is>
          <t>RUL-000002</t>
        </is>
      </c>
      <c r="D148" s="12" t="inlineStr">
        <is>
          <t>config/sla-rules.yaml request_approval_wait</t>
        </is>
      </c>
      <c r="E148" s="11" t="inlineStr">
        <is>
          <t>implementation-operating-system</t>
        </is>
      </c>
      <c r="F148" s="11" t="inlineStr">
        <is>
          <t>config</t>
        </is>
      </c>
      <c r="G148" s="12" t="inlineStr">
        <is>
          <t>9acd25a</t>
        </is>
      </c>
      <c r="H148" s="11" t="b">
        <v>1</v>
      </c>
    </row>
    <row r="149">
      <c r="A149" s="11" t="inlineStr">
        <is>
          <t>LKP-000145</t>
        </is>
      </c>
      <c r="B149" s="11" t="inlineStr">
        <is>
          <t>rule_id</t>
        </is>
      </c>
      <c r="C149" s="12" t="inlineStr">
        <is>
          <t>RUL-000003</t>
        </is>
      </c>
      <c r="D149" s="12" t="inlineStr">
        <is>
          <t>config/sla-rules.yaml request_blocked</t>
        </is>
      </c>
      <c r="E149" s="11" t="inlineStr">
        <is>
          <t>implementation-operating-system</t>
        </is>
      </c>
      <c r="F149" s="11" t="inlineStr">
        <is>
          <t>config</t>
        </is>
      </c>
      <c r="G149" s="12" t="inlineStr">
        <is>
          <t>9acd25a</t>
        </is>
      </c>
      <c r="H149" s="11" t="b">
        <v>1</v>
      </c>
    </row>
    <row r="150">
      <c r="A150" s="11" t="inlineStr">
        <is>
          <t>LKP-000146</t>
        </is>
      </c>
      <c r="B150" s="11" t="inlineStr">
        <is>
          <t>rule_id</t>
        </is>
      </c>
      <c r="C150" s="12" t="inlineStr">
        <is>
          <t>RUL-000004</t>
        </is>
      </c>
      <c r="D150" s="12" t="inlineStr">
        <is>
          <t>config/sla-rules.yaml handoff_acceptance</t>
        </is>
      </c>
      <c r="E150" s="11" t="inlineStr">
        <is>
          <t>implementation-operating-system</t>
        </is>
      </c>
      <c r="F150" s="11" t="inlineStr">
        <is>
          <t>config</t>
        </is>
      </c>
      <c r="G150" s="12" t="inlineStr">
        <is>
          <t>9acd25a</t>
        </is>
      </c>
      <c r="H150" s="11" t="b">
        <v>1</v>
      </c>
    </row>
    <row r="151">
      <c r="A151" s="11" t="inlineStr">
        <is>
          <t>LKP-000147</t>
        </is>
      </c>
      <c r="B151" s="11" t="inlineStr">
        <is>
          <t>rule_id</t>
        </is>
      </c>
      <c r="C151" s="12" t="inlineStr">
        <is>
          <t>RUL-000005</t>
        </is>
      </c>
      <c r="D151" s="12" t="inlineStr">
        <is>
          <t>config/sla-rules.yaml sev1</t>
        </is>
      </c>
      <c r="E151" s="11" t="inlineStr">
        <is>
          <t>implementation-operating-system</t>
        </is>
      </c>
      <c r="F151" s="11" t="inlineStr">
        <is>
          <t>config</t>
        </is>
      </c>
      <c r="G151" s="12" t="inlineStr">
        <is>
          <t>9acd25a</t>
        </is>
      </c>
      <c r="H151" s="11" t="b">
        <v>1</v>
      </c>
    </row>
    <row r="152">
      <c r="A152" s="11" t="inlineStr">
        <is>
          <t>LKP-000148</t>
        </is>
      </c>
      <c r="B152" s="11" t="inlineStr">
        <is>
          <t>rule_id</t>
        </is>
      </c>
      <c r="C152" s="12" t="inlineStr">
        <is>
          <t>RUL-000006</t>
        </is>
      </c>
      <c r="D152" s="12" t="inlineStr">
        <is>
          <t>config/sla-rules.yaml sev2</t>
        </is>
      </c>
      <c r="E152" s="11" t="inlineStr">
        <is>
          <t>implementation-operating-system</t>
        </is>
      </c>
      <c r="F152" s="11" t="inlineStr">
        <is>
          <t>config</t>
        </is>
      </c>
      <c r="G152" s="12" t="inlineStr">
        <is>
          <t>9acd25a</t>
        </is>
      </c>
      <c r="H152" s="11" t="b">
        <v>1</v>
      </c>
    </row>
    <row r="153">
      <c r="A153" s="11" t="inlineStr">
        <is>
          <t>LKP-000149</t>
        </is>
      </c>
      <c r="B153" s="11" t="inlineStr">
        <is>
          <t>rule_id</t>
        </is>
      </c>
      <c r="C153" s="12" t="inlineStr">
        <is>
          <t>RUL-000007</t>
        </is>
      </c>
      <c r="D153" s="12" t="inlineStr">
        <is>
          <t>config/sla-rules.yaml sev3</t>
        </is>
      </c>
      <c r="E153" s="11" t="inlineStr">
        <is>
          <t>implementation-operating-system</t>
        </is>
      </c>
      <c r="F153" s="11" t="inlineStr">
        <is>
          <t>config</t>
        </is>
      </c>
      <c r="G153" s="12" t="inlineStr">
        <is>
          <t>9acd25a</t>
        </is>
      </c>
      <c r="H153" s="11" t="b">
        <v>1</v>
      </c>
    </row>
    <row r="154">
      <c r="A154" s="11" t="inlineStr">
        <is>
          <t>LKP-000150</t>
        </is>
      </c>
      <c r="B154" s="11" t="inlineStr">
        <is>
          <t>rule_id</t>
        </is>
      </c>
      <c r="C154" s="12" t="inlineStr">
        <is>
          <t>RUL-000008</t>
        </is>
      </c>
      <c r="D154" s="12" t="inlineStr">
        <is>
          <t>config/sla-rules.yaml sev4</t>
        </is>
      </c>
      <c r="E154" s="11" t="inlineStr">
        <is>
          <t>implementation-operating-system</t>
        </is>
      </c>
      <c r="F154" s="11" t="inlineStr">
        <is>
          <t>config</t>
        </is>
      </c>
      <c r="G154" s="12" t="inlineStr">
        <is>
          <t>9acd25a</t>
        </is>
      </c>
      <c r="H154" s="11" t="b">
        <v>1</v>
      </c>
    </row>
    <row r="155">
      <c r="A155" s="11" t="inlineStr">
        <is>
          <t>LKP-000151</t>
        </is>
      </c>
      <c r="B155" s="11" t="inlineStr">
        <is>
          <t>rule_id</t>
        </is>
      </c>
      <c r="C155" s="12" t="inlineStr">
        <is>
          <t>RUL-000101</t>
        </is>
      </c>
      <c r="D155" s="12" t="inlineStr">
        <is>
          <t>config/lead-time-rules.yaml enable_work_before_launch</t>
        </is>
      </c>
      <c r="E155" s="11" t="inlineStr">
        <is>
          <t>implementation-operating-system</t>
        </is>
      </c>
      <c r="F155" s="11" t="inlineStr">
        <is>
          <t>config</t>
        </is>
      </c>
      <c r="G155" s="12" t="inlineStr">
        <is>
          <t>9acd25a</t>
        </is>
      </c>
      <c r="H155" s="11" t="b">
        <v>1</v>
      </c>
    </row>
    <row r="156">
      <c r="A156" s="11" t="inlineStr">
        <is>
          <t>LKP-000152</t>
        </is>
      </c>
      <c r="B156" s="11" t="inlineStr">
        <is>
          <t>rule_id</t>
        </is>
      </c>
      <c r="C156" s="12" t="inlineStr">
        <is>
          <t>RUL-000102</t>
        </is>
      </c>
      <c r="D156" s="12" t="inlineStr">
        <is>
          <t>config/lead-time-rules.yaml validation_before_launch</t>
        </is>
      </c>
      <c r="E156" s="11" t="inlineStr">
        <is>
          <t>implementation-operating-system</t>
        </is>
      </c>
      <c r="F156" s="11" t="inlineStr">
        <is>
          <t>config</t>
        </is>
      </c>
      <c r="G156" s="12" t="inlineStr">
        <is>
          <t>9acd25a</t>
        </is>
      </c>
      <c r="H156" s="11" t="b">
        <v>1</v>
      </c>
    </row>
    <row r="157">
      <c r="A157" s="11" t="inlineStr">
        <is>
          <t>LKP-000153</t>
        </is>
      </c>
      <c r="B157" s="11" t="inlineStr">
        <is>
          <t>rule_id</t>
        </is>
      </c>
      <c r="C157" s="12" t="inlineStr">
        <is>
          <t>RUL-000103</t>
        </is>
      </c>
      <c r="D157" s="12" t="inlineStr">
        <is>
          <t>config/lead-time-rules.yaml critical_work_before_milestone</t>
        </is>
      </c>
      <c r="E157" s="11" t="inlineStr">
        <is>
          <t>implementation-operating-system</t>
        </is>
      </c>
      <c r="F157" s="11" t="inlineStr">
        <is>
          <t>config</t>
        </is>
      </c>
      <c r="G157" s="12" t="inlineStr">
        <is>
          <t>9acd25a</t>
        </is>
      </c>
      <c r="H157" s="11" t="b">
        <v>1</v>
      </c>
    </row>
    <row r="158">
      <c r="A158" s="11" t="inlineStr">
        <is>
          <t>LKP-000154</t>
        </is>
      </c>
      <c r="B158" s="11" t="inlineStr">
        <is>
          <t>rule_id</t>
        </is>
      </c>
      <c r="C158" s="12" t="inlineStr">
        <is>
          <t>RUL-000104</t>
        </is>
      </c>
      <c r="D158" s="12" t="inlineStr">
        <is>
          <t>config/lead-time-rules.yaml predecessors_finish_first</t>
        </is>
      </c>
      <c r="E158" s="11" t="inlineStr">
        <is>
          <t>implementation-operating-system</t>
        </is>
      </c>
      <c r="F158" s="11" t="inlineStr">
        <is>
          <t>config</t>
        </is>
      </c>
      <c r="G158" s="12" t="inlineStr">
        <is>
          <t>9acd25a</t>
        </is>
      </c>
      <c r="H158" s="11" t="b">
        <v>1</v>
      </c>
    </row>
    <row r="159">
      <c r="A159" s="11" t="inlineStr">
        <is>
          <t>LKP-000155</t>
        </is>
      </c>
      <c r="B159" s="11" t="inlineStr">
        <is>
          <t>rule_id</t>
        </is>
      </c>
      <c r="C159" s="12" t="inlineStr">
        <is>
          <t>RUL-000201</t>
        </is>
      </c>
      <c r="D159" s="12" t="inlineStr">
        <is>
          <t>config/risk-rules.yaml risk score</t>
        </is>
      </c>
      <c r="E159" s="11" t="inlineStr">
        <is>
          <t>implementation-operating-system</t>
        </is>
      </c>
      <c r="F159" s="11" t="inlineStr">
        <is>
          <t>config</t>
        </is>
      </c>
      <c r="G159" s="12" t="inlineStr">
        <is>
          <t>9acd25a</t>
        </is>
      </c>
      <c r="H159" s="11" t="b">
        <v>1</v>
      </c>
    </row>
    <row r="160">
      <c r="A160" s="11" t="inlineStr">
        <is>
          <t>LKP-000156</t>
        </is>
      </c>
      <c r="B160" s="11" t="inlineStr">
        <is>
          <t>rule_id</t>
        </is>
      </c>
      <c r="C160" s="12" t="inlineStr">
        <is>
          <t>RUL-000301</t>
        </is>
      </c>
      <c r="D160" s="12" t="inlineStr">
        <is>
          <t>config/readiness-weights.yaml readiness calculation</t>
        </is>
      </c>
      <c r="E160" s="11" t="inlineStr">
        <is>
          <t>implementation-operating-system</t>
        </is>
      </c>
      <c r="F160" s="11" t="inlineStr">
        <is>
          <t>config</t>
        </is>
      </c>
      <c r="G160" s="12" t="inlineStr">
        <is>
          <t>9acd25a</t>
        </is>
      </c>
      <c r="H160" s="11" t="b">
        <v>1</v>
      </c>
    </row>
    <row r="161">
      <c r="A161" s="11" t="inlineStr">
        <is>
          <t>LKP-000157</t>
        </is>
      </c>
      <c r="B161" s="11" t="inlineStr">
        <is>
          <t>operating_mode</t>
        </is>
      </c>
      <c r="C161" s="12" t="inlineStr">
        <is>
          <t>starter</t>
        </is>
      </c>
      <c r="D161" s="12" t="inlineStr">
        <is>
          <t>starter</t>
        </is>
      </c>
      <c r="E161" s="11" t="inlineStr">
        <is>
          <t>implementation-tracker-workbook</t>
        </is>
      </c>
      <c r="F161" s="11" t="inlineStr">
        <is>
          <t>schemas/r3/workbook-metadata.schema.json</t>
        </is>
      </c>
      <c r="G161" s="12" t="inlineStr">
        <is>
          <t>0.1.0</t>
        </is>
      </c>
      <c r="H161" s="11" t="b">
        <v>1</v>
      </c>
    </row>
    <row r="162">
      <c r="A162" s="11" t="inlineStr">
        <is>
          <t>LKP-000158</t>
        </is>
      </c>
      <c r="B162" s="11" t="inlineStr">
        <is>
          <t>operating_mode</t>
        </is>
      </c>
      <c r="C162" s="12" t="inlineStr">
        <is>
          <t>full</t>
        </is>
      </c>
      <c r="D162" s="12" t="inlineStr">
        <is>
          <t>full</t>
        </is>
      </c>
      <c r="E162" s="11" t="inlineStr">
        <is>
          <t>implementation-tracker-workbook</t>
        </is>
      </c>
      <c r="F162" s="11" t="inlineStr">
        <is>
          <t>schemas/r3/workbook-metadata.schema.json</t>
        </is>
      </c>
      <c r="G162" s="12" t="inlineStr">
        <is>
          <t>0.1.0</t>
        </is>
      </c>
      <c r="H162" s="11" t="b">
        <v>1</v>
      </c>
    </row>
    <row r="163">
      <c r="A163" s="11" t="inlineStr">
        <is>
          <t>LKP-000159</t>
        </is>
      </c>
      <c r="B163" s="11" t="inlineStr">
        <is>
          <t>source_entity_type</t>
        </is>
      </c>
      <c r="C163" s="12" t="inlineStr">
        <is>
          <t>task</t>
        </is>
      </c>
      <c r="D163" s="12" t="inlineStr">
        <is>
          <t>task</t>
        </is>
      </c>
      <c r="E163" s="11" t="inlineStr">
        <is>
          <t>implementation-tracker-workbook</t>
        </is>
      </c>
      <c r="F163" s="11" t="inlineStr">
        <is>
          <t>schemas/r3/capacity-input.schema.json</t>
        </is>
      </c>
      <c r="G163" s="12" t="inlineStr">
        <is>
          <t>0.1.0</t>
        </is>
      </c>
      <c r="H163" s="11" t="b">
        <v>1</v>
      </c>
    </row>
    <row r="164">
      <c r="A164" s="11" t="inlineStr">
        <is>
          <t>LKP-000160</t>
        </is>
      </c>
      <c r="B164" s="11" t="inlineStr">
        <is>
          <t>source_entity_type</t>
        </is>
      </c>
      <c r="C164" s="12" t="inlineStr">
        <is>
          <t>request</t>
        </is>
      </c>
      <c r="D164" s="12" t="inlineStr">
        <is>
          <t>request</t>
        </is>
      </c>
      <c r="E164" s="11" t="inlineStr">
        <is>
          <t>implementation-tracker-workbook</t>
        </is>
      </c>
      <c r="F164" s="11" t="inlineStr">
        <is>
          <t>schemas/r3/capacity-input.schema.json</t>
        </is>
      </c>
      <c r="G164" s="12" t="inlineStr">
        <is>
          <t>0.1.0</t>
        </is>
      </c>
      <c r="H164" s="11" t="b">
        <v>1</v>
      </c>
    </row>
    <row r="165">
      <c r="A165" s="11" t="inlineStr">
        <is>
          <t>LKP-000161</t>
        </is>
      </c>
      <c r="B165" s="11" t="inlineStr">
        <is>
          <t>source_entity_type</t>
        </is>
      </c>
      <c r="C165" s="12" t="inlineStr">
        <is>
          <t>handoff</t>
        </is>
      </c>
      <c r="D165" s="12" t="inlineStr">
        <is>
          <t>handoff</t>
        </is>
      </c>
      <c r="E165" s="11" t="inlineStr">
        <is>
          <t>implementation-tracker-workbook</t>
        </is>
      </c>
      <c r="F165" s="11" t="inlineStr">
        <is>
          <t>schemas/r3/capacity-input.schema.json</t>
        </is>
      </c>
      <c r="G165" s="12" t="inlineStr">
        <is>
          <t>0.1.0</t>
        </is>
      </c>
      <c r="H165" s="11" t="b">
        <v>1</v>
      </c>
    </row>
    <row r="166">
      <c r="A166" s="11" t="inlineStr">
        <is>
          <t>LKP-000162</t>
        </is>
      </c>
      <c r="B166" s="11" t="inlineStr">
        <is>
          <t>source_entity_type</t>
        </is>
      </c>
      <c r="C166" s="12" t="inlineStr">
        <is>
          <t>phase</t>
        </is>
      </c>
      <c r="D166" s="12" t="inlineStr">
        <is>
          <t>phase</t>
        </is>
      </c>
      <c r="E166" s="11" t="inlineStr">
        <is>
          <t>implementation-tracker-workbook</t>
        </is>
      </c>
      <c r="F166" s="11" t="inlineStr">
        <is>
          <t>schemas/r3/capacity-input.schema.json</t>
        </is>
      </c>
      <c r="G166" s="12" t="inlineStr">
        <is>
          <t>0.1.0</t>
        </is>
      </c>
      <c r="H166" s="11" t="b">
        <v>1</v>
      </c>
    </row>
    <row r="167">
      <c r="A167" s="11" t="inlineStr">
        <is>
          <t>LKP-000163</t>
        </is>
      </c>
      <c r="B167" s="11" t="inlineStr">
        <is>
          <t>workload_type</t>
        </is>
      </c>
      <c r="C167" s="12" t="inlineStr">
        <is>
          <t>task_effort</t>
        </is>
      </c>
      <c r="D167" s="12" t="inlineStr">
        <is>
          <t>task_effort</t>
        </is>
      </c>
      <c r="E167" s="11" t="inlineStr">
        <is>
          <t>implementation-tracker-workbook</t>
        </is>
      </c>
      <c r="F167" s="11" t="inlineStr">
        <is>
          <t>schemas/r3/capacity-input.schema.json</t>
        </is>
      </c>
      <c r="G167" s="12" t="inlineStr">
        <is>
          <t>0.1.0</t>
        </is>
      </c>
      <c r="H167" s="11" t="b">
        <v>1</v>
      </c>
    </row>
    <row r="168">
      <c r="A168" s="11" t="inlineStr">
        <is>
          <t>LKP-000164</t>
        </is>
      </c>
      <c r="B168" s="11" t="inlineStr">
        <is>
          <t>workload_type</t>
        </is>
      </c>
      <c r="C168" s="12" t="inlineStr">
        <is>
          <t>request_handling</t>
        </is>
      </c>
      <c r="D168" s="12" t="inlineStr">
        <is>
          <t>request_handling</t>
        </is>
      </c>
      <c r="E168" s="11" t="inlineStr">
        <is>
          <t>implementation-tracker-workbook</t>
        </is>
      </c>
      <c r="F168" s="11" t="inlineStr">
        <is>
          <t>schemas/r3/capacity-input.schema.json</t>
        </is>
      </c>
      <c r="G168" s="12" t="inlineStr">
        <is>
          <t>0.1.0</t>
        </is>
      </c>
      <c r="H168" s="11" t="b">
        <v>1</v>
      </c>
    </row>
    <row r="169">
      <c r="A169" s="11" t="inlineStr">
        <is>
          <t>LKP-000165</t>
        </is>
      </c>
      <c r="B169" s="11" t="inlineStr">
        <is>
          <t>workload_type</t>
        </is>
      </c>
      <c r="C169" s="12" t="inlineStr">
        <is>
          <t>handoff_effort</t>
        </is>
      </c>
      <c r="D169" s="12" t="inlineStr">
        <is>
          <t>handoff_effort</t>
        </is>
      </c>
      <c r="E169" s="11" t="inlineStr">
        <is>
          <t>implementation-tracker-workbook</t>
        </is>
      </c>
      <c r="F169" s="11" t="inlineStr">
        <is>
          <t>schemas/r3/capacity-input.schema.json</t>
        </is>
      </c>
      <c r="G169" s="12" t="inlineStr">
        <is>
          <t>0.1.0</t>
        </is>
      </c>
      <c r="H169" s="11" t="b">
        <v>1</v>
      </c>
    </row>
    <row r="170">
      <c r="A170" s="11" t="inlineStr">
        <is>
          <t>LKP-000166</t>
        </is>
      </c>
      <c r="B170" s="11" t="inlineStr">
        <is>
          <t>workload_type</t>
        </is>
      </c>
      <c r="C170" s="12" t="inlineStr">
        <is>
          <t>phase_summary</t>
        </is>
      </c>
      <c r="D170" s="12" t="inlineStr">
        <is>
          <t>phase_summary</t>
        </is>
      </c>
      <c r="E170" s="11" t="inlineStr">
        <is>
          <t>implementation-tracker-workbook</t>
        </is>
      </c>
      <c r="F170" s="11" t="inlineStr">
        <is>
          <t>schemas/r3/capacity-input.schema.json</t>
        </is>
      </c>
      <c r="G170" s="12" t="inlineStr">
        <is>
          <t>0.1.0</t>
        </is>
      </c>
      <c r="H170" s="11" t="b">
        <v>1</v>
      </c>
    </row>
    <row r="171">
      <c r="A171" s="11" t="inlineStr">
        <is>
          <t>LKP-000167</t>
        </is>
      </c>
      <c r="B171" s="11" t="inlineStr">
        <is>
          <t>capacity_inclusion_method</t>
        </is>
      </c>
      <c r="C171" s="12" t="inlineStr">
        <is>
          <t>authoritative_workload</t>
        </is>
      </c>
      <c r="D171" s="12" t="inlineStr">
        <is>
          <t>authoritative_workload</t>
        </is>
      </c>
      <c r="E171" s="11" t="inlineStr">
        <is>
          <t>implementation-tracker-workbook</t>
        </is>
      </c>
      <c r="F171" s="11" t="inlineStr">
        <is>
          <t>schemas/r3/capacity-input.schema.json</t>
        </is>
      </c>
      <c r="G171" s="12" t="inlineStr">
        <is>
          <t>0.1.0</t>
        </is>
      </c>
      <c r="H171" s="11" t="b">
        <v>1</v>
      </c>
    </row>
    <row r="172">
      <c r="A172" s="11" t="inlineStr">
        <is>
          <t>LKP-000168</t>
        </is>
      </c>
      <c r="B172" s="11" t="inlineStr">
        <is>
          <t>capacity_inclusion_method</t>
        </is>
      </c>
      <c r="C172" s="12" t="inlineStr">
        <is>
          <t>informational_only</t>
        </is>
      </c>
      <c r="D172" s="12" t="inlineStr">
        <is>
          <t>informational_only</t>
        </is>
      </c>
      <c r="E172" s="11" t="inlineStr">
        <is>
          <t>implementation-tracker-workbook</t>
        </is>
      </c>
      <c r="F172" s="11" t="inlineStr">
        <is>
          <t>schemas/r3/capacity-input.schema.json</t>
        </is>
      </c>
      <c r="G172" s="12" t="inlineStr">
        <is>
          <t>0.1.0</t>
        </is>
      </c>
      <c r="H172" s="11" t="b">
        <v>1</v>
      </c>
    </row>
    <row r="173">
      <c r="A173" s="11" t="inlineStr">
        <is>
          <t>LKP-000169</t>
        </is>
      </c>
      <c r="B173" s="11" t="inlineStr">
        <is>
          <t>capacity_inclusion_method</t>
        </is>
      </c>
      <c r="C173" s="12" t="inlineStr">
        <is>
          <t>excluded_to_prevent_double_count</t>
        </is>
      </c>
      <c r="D173" s="12" t="inlineStr">
        <is>
          <t>excluded_to_prevent_double_count</t>
        </is>
      </c>
      <c r="E173" s="11" t="inlineStr">
        <is>
          <t>implementation-tracker-workbook</t>
        </is>
      </c>
      <c r="F173" s="11" t="inlineStr">
        <is>
          <t>schemas/r3/capacity-input.schema.json</t>
        </is>
      </c>
      <c r="G173" s="12" t="inlineStr">
        <is>
          <t>0.1.0</t>
        </is>
      </c>
      <c r="H173" s="11" t="b">
        <v>1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2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  <col width="16" customWidth="1" min="19" max="19"/>
    <col width="22" customWidth="1" min="20" max="20"/>
  </cols>
  <sheetData>
    <row r="1">
      <c r="A1" s="1" t="inlineStr">
        <is>
          <t>Projects</t>
        </is>
      </c>
    </row>
    <row r="2">
      <c r="A2" s="9" t="inlineStr">
        <is>
          <t>Grey columns are formulas (R3 checks). White columns are R1 project fields you edit.</t>
        </is>
      </c>
    </row>
    <row r="3">
      <c r="A3" s="3" t="inlineStr">
        <is>
          <t>Projects (R1 project records)</t>
        </is>
      </c>
    </row>
    <row r="4">
      <c r="A4" s="5" t="inlineStr">
        <is>
          <t>project_id</t>
        </is>
      </c>
      <c r="B4" s="5" t="inlineStr">
        <is>
          <t>name</t>
        </is>
      </c>
      <c r="C4" s="5" t="inlineStr">
        <is>
          <t>customer_reference</t>
        </is>
      </c>
      <c r="D4" s="5" t="inlineStr">
        <is>
          <t>customer_label</t>
        </is>
      </c>
      <c r="E4" s="5" t="inlineStr">
        <is>
          <t>current_phase_id</t>
        </is>
      </c>
      <c r="F4" s="5" t="inlineStr">
        <is>
          <t>project_status</t>
        </is>
      </c>
      <c r="G4" s="5" t="inlineStr">
        <is>
          <t>org_stage</t>
        </is>
      </c>
      <c r="H4" s="5" t="inlineStr">
        <is>
          <t>complexity_profile_id</t>
        </is>
      </c>
      <c r="I4" s="5" t="inlineStr">
        <is>
          <t>service_profile_id</t>
        </is>
      </c>
      <c r="J4" s="5" t="inlineStr">
        <is>
          <t>segment_profile_id</t>
        </is>
      </c>
      <c r="K4" s="5" t="inlineStr">
        <is>
          <t>project_owner_role_id</t>
        </is>
      </c>
      <c r="L4" s="5" t="inlineStr">
        <is>
          <t>target_launch_date</t>
        </is>
      </c>
      <c r="M4" s="5" t="inlineStr">
        <is>
          <t>actual_launch_date</t>
        </is>
      </c>
      <c r="N4" s="5" t="inlineStr">
        <is>
          <t>external_reference</t>
        </is>
      </c>
      <c r="O4" s="5" t="inlineStr">
        <is>
          <t>created_at</t>
        </is>
      </c>
      <c r="P4" s="5" t="inlineStr">
        <is>
          <t>updated_at</t>
        </is>
      </c>
      <c r="Q4" s="5" t="inlineStr">
        <is>
          <t>schema_version</t>
        </is>
      </c>
      <c r="R4" s="13" t="inlineStr">
        <is>
          <t>current_phase_key</t>
        </is>
      </c>
      <c r="S4" s="13" t="inlineStr">
        <is>
          <t>reference_check</t>
        </is>
      </c>
      <c r="T4" s="13" t="inlineStr">
        <is>
          <t>event_evidence</t>
        </is>
      </c>
    </row>
    <row r="5">
      <c r="A5" s="6" t="inlineStr">
        <is>
          <t>PRJ-000001</t>
        </is>
      </c>
      <c r="B5" s="6" t="inlineStr">
        <is>
          <t>Synthetic Project A</t>
        </is>
      </c>
      <c r="C5" s="6" t="inlineStr">
        <is>
          <t>SYN-CUSTOMER-A</t>
        </is>
      </c>
      <c r="D5" s="6" t="inlineStr">
        <is>
          <t>Synthetic Organization A</t>
        </is>
      </c>
      <c r="E5" s="6" t="inlineStr">
        <is>
          <t>PHS-000002</t>
        </is>
      </c>
      <c r="F5" s="6" t="inlineStr">
        <is>
          <t>active</t>
        </is>
      </c>
      <c r="G5" s="6" t="inlineStr">
        <is>
          <t>startup</t>
        </is>
      </c>
      <c r="H5" s="6" t="inlineStr">
        <is>
          <t>PRF-000002</t>
        </is>
      </c>
      <c r="I5" s="6" t="inlineStr">
        <is>
          <t>PRF-000003</t>
        </is>
      </c>
      <c r="J5" s="6" t="inlineStr">
        <is>
          <t>PRF-000004</t>
        </is>
      </c>
      <c r="K5" s="6" t="inlineStr">
        <is>
          <t>ROL-000001</t>
        </is>
      </c>
      <c r="L5" s="6" t="inlineStr">
        <is>
          <t>2026-12-01</t>
        </is>
      </c>
      <c r="M5" s="6" t="n"/>
      <c r="N5" s="6" t="n"/>
      <c r="O5" s="6" t="inlineStr">
        <is>
          <t>2026-09-08T14:00:00Z</t>
        </is>
      </c>
      <c r="P5" s="6" t="inlineStr">
        <is>
          <t>2026-10-01T15:00:00Z</t>
        </is>
      </c>
      <c r="Q5" s="6" t="inlineStr">
        <is>
          <t>0.1.0</t>
        </is>
      </c>
      <c r="R5" s="14">
        <f>IF(tblProjects[[#This Row],[project_id]]="","",IFERROR(INDEX(tblPhases[lifecycle_phase_key],MATCH(tblProjects[[#This Row],[current_phase_id]],tblPhases[phase_id],0))&amp;"","phase_not_found"))</f>
        <v/>
      </c>
      <c r="S5" s="14">
        <f>IF(tblProjects[[#This Row],[project_id]]="","",IF(COUNTIFS(tblPhases[phase_id],tblProjects[[#This Row],[current_phase_id]],tblPhases[project_id],tblProjects[[#This Row],[project_id]])=0,"orphan_current_phase",IF(COUNTIFS(tblLookupEntries[lookup_type],"profile_id",tblLookupEntries[key],tblProjects[[#This Row],[complexity_profile_id]])+COUNTIFS(tblLookupEntries[lookup_type],"profile_id",tblLookupEntries[key],tblProjects[[#This Row],[service_profile_id]])+COUNTIFS(tblLookupEntries[lookup_type],"profile_id",tblLookupEntries[key],tblProjects[[#This Row],[segment_profile_id]])&lt;3,"orphan_profile","valid")))</f>
        <v/>
      </c>
      <c r="T5" s="14">
        <f>IF(tblProjects[[#This Row],[project_id]]="","",IF(AND(TRUE,tblProjects[[#This Row],[created_at]]&gt;=event_reconciliation_from_at,COUNTIFS(tblEventLog[subject_id],tblProjects[[#This Row],[project_id]],tblEventLog[event_type],"project.created")=0),"missing:project.created",IF(OR(AND(TRUE,tblProjects[[#This Row],[created_at]]&gt;=event_reconciliation_from_at)),"logged","before_window")))</f>
        <v/>
      </c>
    </row>
    <row r="6">
      <c r="A6" s="6" t="inlineStr">
        <is>
          <t>PRJ-000002</t>
        </is>
      </c>
      <c r="B6" s="6" t="inlineStr">
        <is>
          <t>Synthetic Project B</t>
        </is>
      </c>
      <c r="C6" s="6" t="inlineStr">
        <is>
          <t>SYN-CUSTOMER-B</t>
        </is>
      </c>
      <c r="D6" s="6" t="inlineStr">
        <is>
          <t>Synthetic Organization B</t>
        </is>
      </c>
      <c r="E6" s="6" t="inlineStr">
        <is>
          <t>PHS-000006</t>
        </is>
      </c>
      <c r="F6" s="6" t="inlineStr">
        <is>
          <t>active</t>
        </is>
      </c>
      <c r="G6" s="6" t="inlineStr">
        <is>
          <t>early_scale</t>
        </is>
      </c>
      <c r="H6" s="6" t="inlineStr">
        <is>
          <t>PRF-000002</t>
        </is>
      </c>
      <c r="I6" s="6" t="inlineStr">
        <is>
          <t>PRF-000003</t>
        </is>
      </c>
      <c r="J6" s="6" t="inlineStr">
        <is>
          <t>PRF-000004</t>
        </is>
      </c>
      <c r="K6" s="6" t="inlineStr">
        <is>
          <t>ROL-000001</t>
        </is>
      </c>
      <c r="L6" s="6" t="inlineStr">
        <is>
          <t>2026-11-16</t>
        </is>
      </c>
      <c r="M6" s="6" t="n"/>
      <c r="N6" s="6" t="inlineStr">
        <is>
          <t>SYN-INTAKE-B</t>
        </is>
      </c>
      <c r="O6" s="6" t="inlineStr">
        <is>
          <t>2026-06-01T15:00:00Z</t>
        </is>
      </c>
      <c r="P6" s="6" t="inlineStr">
        <is>
          <t>2026-10-05T16:00:00Z</t>
        </is>
      </c>
      <c r="Q6" s="6" t="inlineStr">
        <is>
          <t>0.1.0</t>
        </is>
      </c>
      <c r="R6" s="14">
        <f>IF(tblProjects[[#This Row],[project_id]]="","",IFERROR(INDEX(tblPhases[lifecycle_phase_key],MATCH(tblProjects[[#This Row],[current_phase_id]],tblPhases[phase_id],0))&amp;"","phase_not_found"))</f>
        <v/>
      </c>
      <c r="S6" s="14">
        <f>IF(tblProjects[[#This Row],[project_id]]="","",IF(COUNTIFS(tblPhases[phase_id],tblProjects[[#This Row],[current_phase_id]],tblPhases[project_id],tblProjects[[#This Row],[project_id]])=0,"orphan_current_phase",IF(COUNTIFS(tblLookupEntries[lookup_type],"profile_id",tblLookupEntries[key],tblProjects[[#This Row],[complexity_profile_id]])+COUNTIFS(tblLookupEntries[lookup_type],"profile_id",tblLookupEntries[key],tblProjects[[#This Row],[service_profile_id]])+COUNTIFS(tblLookupEntries[lookup_type],"profile_id",tblLookupEntries[key],tblProjects[[#This Row],[segment_profile_id]])&lt;3,"orphan_profile","valid")))</f>
        <v/>
      </c>
      <c r="T6" s="14">
        <f>IF(tblProjects[[#This Row],[project_id]]="","",IF(AND(TRUE,tblProjects[[#This Row],[created_at]]&gt;=event_reconciliation_from_at,COUNTIFS(tblEventLog[subject_id],tblProjects[[#This Row],[project_id]],tblEventLog[event_type],"project.created")=0),"missing:project.created",IF(OR(AND(TRUE,tblProjects[[#This Row],[created_at]]&gt;=event_reconciliation_from_at)),"logged","before_window")))</f>
        <v/>
      </c>
    </row>
    <row r="7">
      <c r="A7" s="6" t="inlineStr">
        <is>
          <t>PRJ-000003</t>
        </is>
      </c>
      <c r="B7" s="6" t="inlineStr">
        <is>
          <t>Synthetic Project C</t>
        </is>
      </c>
      <c r="C7" s="6" t="inlineStr">
        <is>
          <t>SYN-CUSTOMER-C</t>
        </is>
      </c>
      <c r="D7" s="6" t="inlineStr">
        <is>
          <t>Synthetic Organization C</t>
        </is>
      </c>
      <c r="E7" s="6" t="inlineStr">
        <is>
          <t>PHS-000015</t>
        </is>
      </c>
      <c r="F7" s="6" t="inlineStr">
        <is>
          <t>active</t>
        </is>
      </c>
      <c r="G7" s="6" t="inlineStr">
        <is>
          <t>structured_growth</t>
        </is>
      </c>
      <c r="H7" s="6" t="inlineStr">
        <is>
          <t>PRF-000002</t>
        </is>
      </c>
      <c r="I7" s="6" t="inlineStr">
        <is>
          <t>PRF-000003</t>
        </is>
      </c>
      <c r="J7" s="6" t="inlineStr">
        <is>
          <t>PRF-000004</t>
        </is>
      </c>
      <c r="K7" s="6" t="inlineStr">
        <is>
          <t>ROL-000001</t>
        </is>
      </c>
      <c r="L7" s="6" t="inlineStr">
        <is>
          <t>2026-10-19</t>
        </is>
      </c>
      <c r="M7" s="6" t="n"/>
      <c r="N7" s="6" t="inlineStr">
        <is>
          <t>SYN-INTAKE-C</t>
        </is>
      </c>
      <c r="O7" s="6" t="inlineStr">
        <is>
          <t>2026-03-02T15:00:00Z</t>
        </is>
      </c>
      <c r="P7" s="6" t="inlineStr">
        <is>
          <t>2026-10-05T14:00:00Z</t>
        </is>
      </c>
      <c r="Q7" s="6" t="inlineStr">
        <is>
          <t>0.1.0</t>
        </is>
      </c>
      <c r="R7" s="14">
        <f>IF(tblProjects[[#This Row],[project_id]]="","",IFERROR(INDEX(tblPhases[lifecycle_phase_key],MATCH(tblProjects[[#This Row],[current_phase_id]],tblPhases[phase_id],0))&amp;"","phase_not_found"))</f>
        <v/>
      </c>
      <c r="S7" s="14">
        <f>IF(tblProjects[[#This Row],[project_id]]="","",IF(COUNTIFS(tblPhases[phase_id],tblProjects[[#This Row],[current_phase_id]],tblPhases[project_id],tblProjects[[#This Row],[project_id]])=0,"orphan_current_phase",IF(COUNTIFS(tblLookupEntries[lookup_type],"profile_id",tblLookupEntries[key],tblProjects[[#This Row],[complexity_profile_id]])+COUNTIFS(tblLookupEntries[lookup_type],"profile_id",tblLookupEntries[key],tblProjects[[#This Row],[service_profile_id]])+COUNTIFS(tblLookupEntries[lookup_type],"profile_id",tblLookupEntries[key],tblProjects[[#This Row],[segment_profile_id]])&lt;3,"orphan_profile","valid")))</f>
        <v/>
      </c>
      <c r="T7" s="14">
        <f>IF(tblProjects[[#This Row],[project_id]]="","",IF(AND(TRUE,tblProjects[[#This Row],[created_at]]&gt;=event_reconciliation_from_at,COUNTIFS(tblEventLog[subject_id],tblProjects[[#This Row],[project_id]],tblEventLog[event_type],"project.created")=0),"missing:project.created",IF(OR(AND(TRUE,tblProjects[[#This Row],[created_at]]&gt;=event_reconciliation_from_at)),"logged","before_window")))</f>
        <v/>
      </c>
    </row>
  </sheetData>
  <conditionalFormatting sqref="S5:S1005">
    <cfRule type="expression" priority="1" dxfId="0">
      <formula>AND($S5&lt;&gt;"",$S5&lt;&gt;"valid",$S5&lt;&gt;"no_predecessor",$S5&lt;&gt;"event_only_record")</formula>
    </cfRule>
  </conditionalFormatting>
  <conditionalFormatting sqref="T5:T1005">
    <cfRule type="expression" priority="2" dxfId="1">
      <formula>LEFT($T5,7)="missing"</formula>
    </cfRule>
  </conditionalFormatting>
  <dataValidations count="6">
    <dataValidation sqref="F5:F1005" showDropDown="0" showInputMessage="0" showErrorMessage="1" allowBlank="1" errorTitle="Value not in R1 list" error="Choose a value from the R1 project_status list (Lookups tab)." type="list" errorStyle="stop">
      <formula1>=lst_project_status</formula1>
    </dataValidation>
    <dataValidation sqref="G5:G1005" showDropDown="0" showInputMessage="0" showErrorMessage="1" allowBlank="1" errorTitle="Value not in R1 list" error="Choose a value from the R1 org_stage list (Lookups tab)." type="list" errorStyle="stop">
      <formula1>=lst_org_stage</formula1>
    </dataValidation>
    <dataValidation sqref="H5:H1005" showDropDown="0" showInputMessage="0" showErrorMessage="1" allowBlank="1" errorTitle="Value not in R1 list" error="Choose a value from the R1 profile_id list (Lookups tab)." type="list" errorStyle="warning">
      <formula1>=lst_profile_id</formula1>
    </dataValidation>
    <dataValidation sqref="I5:I1005" showDropDown="0" showInputMessage="0" showErrorMessage="1" allowBlank="1" errorTitle="Value not in R1 list" error="Choose a value from the R1 profile_id list (Lookups tab)." type="list" errorStyle="warning">
      <formula1>=lst_profile_id</formula1>
    </dataValidation>
    <dataValidation sqref="J5:J1005" showDropDown="0" showInputMessage="0" showErrorMessage="1" allowBlank="1" errorTitle="Value not in R1 list" error="Choose a value from the R1 profile_id list (Lookups tab)." type="list" errorStyle="warning">
      <formula1>=lst_profile_id</formula1>
    </dataValidation>
    <dataValidation sqref="K5:K1005" showDropDown="0" showInputMessage="0" showErrorMessage="1" allowBlank="1" errorTitle="Value not in R1 list" error="Choose a value from the R1 role_id list (Lookups tab)." type="list" errorStyle="warning">
      <formula1>=lst_role_id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19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6" customWidth="1" min="10" max="10"/>
    <col width="14" customWidth="1" min="11" max="11"/>
    <col width="22" customWidth="1" min="12" max="12"/>
    <col width="14" customWidth="1" min="14" max="14"/>
    <col width="14" customWidth="1" min="15" max="15"/>
    <col width="14" customWidth="1" min="16" max="16"/>
    <col width="30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6" customWidth="1" min="24" max="24"/>
    <col width="24" customWidth="1" min="25" max="25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20" customWidth="1" min="32" max="32"/>
    <col width="14" customWidth="1" min="33" max="33"/>
    <col width="14" customWidth="1" min="34" max="34"/>
    <col width="14" customWidth="1" min="35" max="35"/>
    <col width="14" customWidth="1" min="36" max="36"/>
    <col width="40" customWidth="1" min="37" max="37"/>
    <col width="14" customWidth="1" min="38" max="38"/>
    <col width="14" customWidth="1" min="39" max="39"/>
    <col width="14" customWidth="1" min="40" max="40"/>
    <col width="14" customWidth="1" min="41" max="41"/>
    <col width="20" customWidth="1" min="42" max="42"/>
  </cols>
  <sheetData>
    <row r="1">
      <c r="A1" s="1" t="inlineStr">
        <is>
          <t>Phases and Gates</t>
        </is>
      </c>
    </row>
    <row r="2">
      <c r="A2" s="9" t="inlineStr">
        <is>
          <t>A person records every gate outcome in tblGateAssessments. The workbook checks values; it never decides a gate.</t>
        </is>
      </c>
    </row>
    <row r="3">
      <c r="A3" s="3" t="inlineStr">
        <is>
          <t>Phases (R1 phase instances)</t>
        </is>
      </c>
      <c r="N3" s="3" t="inlineStr">
        <is>
          <t>Milestones (R1 milestone records)</t>
        </is>
      </c>
      <c r="AA3" s="3" t="inlineStr">
        <is>
          <t>Gate assessments (R1 records; a person records every outcome)</t>
        </is>
      </c>
    </row>
    <row r="4">
      <c r="A4" s="5" t="inlineStr">
        <is>
          <t>phase_id</t>
        </is>
      </c>
      <c r="B4" s="5" t="inlineStr">
        <is>
          <t>project_id</t>
        </is>
      </c>
      <c r="C4" s="5" t="inlineStr">
        <is>
          <t>lifecycle_phase_key</t>
        </is>
      </c>
      <c r="D4" s="5" t="inlineStr">
        <is>
          <t>status</t>
        </is>
      </c>
      <c r="E4" s="5" t="inlineStr">
        <is>
          <t>entered_at</t>
        </is>
      </c>
      <c r="F4" s="5" t="inlineStr">
        <is>
          <t>exited_at</t>
        </is>
      </c>
      <c r="G4" s="5" t="inlineStr">
        <is>
          <t>owner_role_id</t>
        </is>
      </c>
      <c r="H4" s="5" t="inlineStr">
        <is>
          <t>gate_id</t>
        </is>
      </c>
      <c r="I4" s="5" t="inlineStr">
        <is>
          <t>schema_version</t>
        </is>
      </c>
      <c r="J4" s="13" t="inlineStr">
        <is>
          <t>reference_check</t>
        </is>
      </c>
      <c r="K4" s="13" t="inlineStr">
        <is>
          <t>gate_check</t>
        </is>
      </c>
      <c r="L4" s="13" t="inlineStr">
        <is>
          <t>event_evidence</t>
        </is>
      </c>
      <c r="N4" s="5" t="inlineStr">
        <is>
          <t>milestone_id</t>
        </is>
      </c>
      <c r="O4" s="5" t="inlineStr">
        <is>
          <t>project_id</t>
        </is>
      </c>
      <c r="P4" s="5" t="inlineStr">
        <is>
          <t>phase_id</t>
        </is>
      </c>
      <c r="Q4" s="5" t="inlineStr">
        <is>
          <t>name</t>
        </is>
      </c>
      <c r="R4" s="5" t="inlineStr">
        <is>
          <t>status</t>
        </is>
      </c>
      <c r="S4" s="5" t="inlineStr">
        <is>
          <t>target_date</t>
        </is>
      </c>
      <c r="T4" s="5" t="inlineStr">
        <is>
          <t>completed_date</t>
        </is>
      </c>
      <c r="U4" s="5" t="inlineStr">
        <is>
          <t>critical_flag</t>
        </is>
      </c>
      <c r="V4" s="5" t="inlineStr">
        <is>
          <t>owner_role_id</t>
        </is>
      </c>
      <c r="W4" s="5" t="inlineStr">
        <is>
          <t>schema_version</t>
        </is>
      </c>
      <c r="X4" s="13" t="inlineStr">
        <is>
          <t>reference_check</t>
        </is>
      </c>
      <c r="Y4" s="13" t="inlineStr">
        <is>
          <t>event_evidence</t>
        </is>
      </c>
      <c r="AA4" s="5" t="inlineStr">
        <is>
          <t>gate_assessment_id</t>
        </is>
      </c>
      <c r="AB4" s="5" t="inlineStr">
        <is>
          <t>gate_id</t>
        </is>
      </c>
      <c r="AC4" s="5" t="inlineStr">
        <is>
          <t>project_id</t>
        </is>
      </c>
      <c r="AD4" s="5" t="inlineStr">
        <is>
          <t>phase_id</t>
        </is>
      </c>
      <c r="AE4" s="5" t="inlineStr">
        <is>
          <t>outcome</t>
        </is>
      </c>
      <c r="AF4" s="5" t="inlineStr">
        <is>
          <t>assessed_at</t>
        </is>
      </c>
      <c r="AG4" s="5" t="inlineStr">
        <is>
          <t>assessor_person_id</t>
        </is>
      </c>
      <c r="AH4" s="5" t="inlineStr">
        <is>
          <t>evidence_types_provided</t>
        </is>
      </c>
      <c r="AI4" s="5" t="inlineStr">
        <is>
          <t>evidence_refs</t>
        </is>
      </c>
      <c r="AJ4" s="5" t="inlineStr">
        <is>
          <t>condition_refs</t>
        </is>
      </c>
      <c r="AK4" s="5" t="inlineStr">
        <is>
          <t>reason</t>
        </is>
      </c>
      <c r="AL4" s="5" t="inlineStr">
        <is>
          <t>schema_version</t>
        </is>
      </c>
      <c r="AM4" s="13" t="inlineStr">
        <is>
          <t>outcome_check</t>
        </is>
      </c>
      <c r="AN4" s="13" t="inlineStr">
        <is>
          <t>assessor_check</t>
        </is>
      </c>
      <c r="AO4" s="13" t="inlineStr">
        <is>
          <t>reference_check</t>
        </is>
      </c>
      <c r="AP4" s="13" t="inlineStr">
        <is>
          <t>event_evidence</t>
        </is>
      </c>
    </row>
    <row r="5">
      <c r="A5" s="6" t="inlineStr">
        <is>
          <t>PHS-000001</t>
        </is>
      </c>
      <c r="B5" s="6" t="inlineStr">
        <is>
          <t>PRJ-000001</t>
        </is>
      </c>
      <c r="C5" s="6" t="inlineStr">
        <is>
          <t>initiate</t>
        </is>
      </c>
      <c r="D5" s="6" t="inlineStr">
        <is>
          <t>completed</t>
        </is>
      </c>
      <c r="E5" s="6" t="inlineStr">
        <is>
          <t>2026-09-08T14:05:00Z</t>
        </is>
      </c>
      <c r="F5" s="6" t="inlineStr">
        <is>
          <t>2026-09-15T16:00:00Z</t>
        </is>
      </c>
      <c r="G5" s="6" t="inlineStr">
        <is>
          <t>ROL-000001</t>
        </is>
      </c>
      <c r="H5" s="6" t="inlineStr">
        <is>
          <t>initiate_gate</t>
        </is>
      </c>
      <c r="I5" s="6" t="inlineStr">
        <is>
          <t>0.1.0</t>
        </is>
      </c>
      <c r="J5" s="14">
        <f>IF(tblPhases[[#This Row],[phase_id]]="","",IF(COUNTIF(tblProjects[project_id],tblPhases[[#This Row],[project_id]])=0,"orphan_project","valid"))</f>
        <v/>
      </c>
      <c r="K5" s="14">
        <f>IF(tblPhases[[#This Row],[phase_id]]="","",IF(COUNTIFS(tblLookupEntries[lookup_type],"gate_id",tblLookupEntries[display_value],tblPhases[[#This Row],[lifecycle_phase_key]])=0,IF(tblPhases[[#This Row],[gate_id]]="","valid","unexpected_gate"),IF(COUNTIFS(tblLookupEntries[lookup_type],"gate_id",tblLookupEntries[key],tblPhases[[#This Row],[gate_id]],tblLookupEntries[display_value],tblPhases[[#This Row],[lifecycle_phase_key]])&gt;0,"valid","gate_mismatch")))</f>
        <v/>
      </c>
      <c r="L5" s="14">
        <f>IF(tblPhases[[#This Row],[phase_id]]="","",IF(AND(tblPhases[[#This Row],[entered_at]]&lt;&gt;"",tblPhases[[#This Row],[entered_at]]&gt;=event_reconciliation_from_at,COUNTIFS(tblEventLog[subject_id],tblPhases[[#This Row],[phase_id]],tblEventLog[event_type],"phase.entered")=0),"missing:phase.entered",IF(AND(tblPhases[[#This Row],[exited_at]]&lt;&gt;"",tblPhases[[#This Row],[exited_at]]&gt;=event_reconciliation_from_at,COUNTIFS(tblEventLog[subject_id],tblPhases[[#This Row],[phase_id]],tblEventLog[event_type],"phase.exited")=0),"missing:phase.exited",IF(OR(AND(tblPhases[[#This Row],[entered_at]]&lt;&gt;"",tblPhases[[#This Row],[entered_at]]&gt;=event_reconciliation_from_at),AND(tblPhases[[#This Row],[exited_at]]&lt;&gt;"",tblPhases[[#This Row],[exited_at]]&gt;=event_reconciliation_from_at)),"logged","before_window"))))</f>
        <v/>
      </c>
      <c r="N5" s="6" t="inlineStr">
        <is>
          <t>MLS-000001</t>
        </is>
      </c>
      <c r="O5" s="6" t="inlineStr">
        <is>
          <t>PRJ-000001</t>
        </is>
      </c>
      <c r="P5" s="6" t="inlineStr">
        <is>
          <t>PHS-000001</t>
        </is>
      </c>
      <c r="Q5" s="6" t="inlineStr">
        <is>
          <t>Kickoff completed</t>
        </is>
      </c>
      <c r="R5" s="6" t="inlineStr">
        <is>
          <t>achieved</t>
        </is>
      </c>
      <c r="S5" s="6" t="inlineStr">
        <is>
          <t>2026-09-11</t>
        </is>
      </c>
      <c r="T5" s="6" t="inlineStr">
        <is>
          <t>2026-09-10</t>
        </is>
      </c>
      <c r="U5" s="7" t="b">
        <v>1</v>
      </c>
      <c r="V5" s="6" t="inlineStr">
        <is>
          <t>ROL-000001</t>
        </is>
      </c>
      <c r="W5" s="6" t="inlineStr">
        <is>
          <t>0.1.0</t>
        </is>
      </c>
      <c r="X5" s="14">
        <f>IF(tblMilestones[[#This Row],[milestone_id]]="","",IF(COUNTIF(tblProjects[project_id],tblMilestones[[#This Row],[project_id]])=0,"orphan_project",IF(COUNTIFS(tblPhases[phase_id],tblMilestones[[#This Row],[phase_id]],tblPhases[project_id],tblMilestones[[#This Row],[project_id]])=0,"orphan_phase","valid")))</f>
        <v/>
      </c>
      <c r="Y5" s="14">
        <f>IF(tblMilestones[[#This Row],[milestone_id]]="","",IF(AND(tblMilestones[[#This Row],[status]]="achieved",tblMilestones[[#This Row],[completed_date]]&amp;"T23:59:59Z"&gt;=event_reconciliation_from_at,COUNTIFS(tblEventLog[subject_id],tblMilestones[[#This Row],[milestone_id]],tblEventLog[event_type],"milestone.achieved")=0),"missing:milestone.achieved",IF(AND(tblMilestones[[#This Row],[status]]="missed",tblMilestones[[#This Row],[target_date]]&amp;"T23:59:59Z"&gt;=event_reconciliation_from_at,COUNTIFS(tblEventLog[subject_id],tblMilestones[[#This Row],[milestone_id]],tblEventLog[event_type],"milestone.missed")=0),"missing:milestone.missed",IF(OR(AND(tblMilestones[[#This Row],[status]]="achieved",tblMilestones[[#This Row],[completed_date]]&amp;"T23:59:59Z"&gt;=event_reconciliation_from_at),AND(tblMilestones[[#This Row],[status]]="missed",tblMilestones[[#This Row],[target_date]]&amp;"T23:59:59Z"&gt;=event_reconciliation_from_at)),"logged","not_required_or_before_window"))))</f>
        <v/>
      </c>
      <c r="AA5" s="6" t="inlineStr">
        <is>
          <t>GAT-000002</t>
        </is>
      </c>
      <c r="AB5" s="6" t="inlineStr">
        <is>
          <t>design_gate</t>
        </is>
      </c>
      <c r="AC5" s="6" t="inlineStr">
        <is>
          <t>PRJ-000002</t>
        </is>
      </c>
      <c r="AD5" s="6" t="inlineStr">
        <is>
          <t>PHS-000005</t>
        </is>
      </c>
      <c r="AE5" s="6" t="inlineStr">
        <is>
          <t>pass_with_conditions</t>
        </is>
      </c>
      <c r="AF5" s="6" t="inlineStr">
        <is>
          <t>2026-09-11T14:30:00Z</t>
        </is>
      </c>
      <c r="AG5" s="6" t="inlineStr">
        <is>
          <t>PER-000002</t>
        </is>
      </c>
      <c r="AH5" s="6" t="inlineStr">
        <is>
          <t>solution_design;design_approval</t>
        </is>
      </c>
      <c r="AI5" s="6" t="inlineStr">
        <is>
          <t>MLS-000004;TSK-000007</t>
        </is>
      </c>
      <c r="AJ5" s="6" t="inlineStr">
        <is>
          <t>RSK-000002</t>
        </is>
      </c>
      <c r="AK5" s="6" t="inlineStr">
        <is>
          <t>Design approved. Integration access is not yet confirmed and is tracked as a risk.</t>
        </is>
      </c>
      <c r="AL5" s="6" t="inlineStr">
        <is>
          <t>0.1.0</t>
        </is>
      </c>
      <c r="AM5" s="14">
        <f>IF(tblGateAssessments[[#This Row],[gate_assessment_id]]="","",IF(COUNTIFS(tblLookupEntries[lookup_type],"gate_outcome",tblLookupEntries[key],tblGateAssessments[[#This Row],[outcome]])&gt;0,"valid","invalid_outcome"))</f>
        <v/>
      </c>
      <c r="AN5" s="14">
        <f>IF(tblGateAssessments[[#This Row],[gate_assessment_id]]="","",IF(LEFT(tblGateAssessments[[#This Row],[assessor_person_id]],4)="PER-","named_person","not_a_person"))</f>
        <v/>
      </c>
      <c r="AO5" s="14">
        <f>IF(tblGateAssessments[[#This Row],[gate_assessment_id]]="","",IF(COUNTIFS(tblPhases[phase_id],tblGateAssessments[[#This Row],[phase_id]],tblPhases[project_id],tblGateAssessments[[#This Row],[project_id]])=0,"orphan_phase",IF(COUNTIFS(tblLookupEntries[lookup_type],"gate_id",tblLookupEntries[key],tblGateAssessments[[#This Row],[gate_id]],tblLookupEntries[display_value],INDEX(tblPhases[lifecycle_phase_key],MATCH(tblGateAssessments[[#This Row],[phase_id]],tblPhases[phase_id],0)))=0,"gate_phase_mismatch","valid")))</f>
        <v/>
      </c>
      <c r="AP5" s="14">
        <f>IF(tblGateAssessments[[#This Row],[gate_assessment_id]]="","",IF(AND(TRUE,tblGateAssessments[[#This Row],[assessed_at]]&gt;=event_reconciliation_from_at,COUNTIFS(tblEventLog[subject_id],tblGateAssessments[[#This Row],[gate_assessment_id]],tblEventLog[event_type],"gate.assessed")=0),"missing:gate.assessed",IF(OR(AND(TRUE,tblGateAssessments[[#This Row],[assessed_at]]&gt;=event_reconciliation_from_at)),"logged","before_window")))</f>
        <v/>
      </c>
    </row>
    <row r="6">
      <c r="A6" s="6" t="inlineStr">
        <is>
          <t>PHS-000002</t>
        </is>
      </c>
      <c r="B6" s="6" t="inlineStr">
        <is>
          <t>PRJ-000001</t>
        </is>
      </c>
      <c r="C6" s="6" t="inlineStr">
        <is>
          <t>discover</t>
        </is>
      </c>
      <c r="D6" s="6" t="inlineStr">
        <is>
          <t>active</t>
        </is>
      </c>
      <c r="E6" s="6" t="inlineStr">
        <is>
          <t>2026-09-15T16:05:00Z</t>
        </is>
      </c>
      <c r="F6" s="6" t="n"/>
      <c r="G6" s="6" t="inlineStr">
        <is>
          <t>ROL-000001</t>
        </is>
      </c>
      <c r="H6" s="6" t="inlineStr">
        <is>
          <t>discover_gate</t>
        </is>
      </c>
      <c r="I6" s="6" t="inlineStr">
        <is>
          <t>0.1.0</t>
        </is>
      </c>
      <c r="J6" s="14">
        <f>IF(tblPhases[[#This Row],[phase_id]]="","",IF(COUNTIF(tblProjects[project_id],tblPhases[[#This Row],[project_id]])=0,"orphan_project","valid"))</f>
        <v/>
      </c>
      <c r="K6" s="14">
        <f>IF(tblPhases[[#This Row],[phase_id]]="","",IF(COUNTIFS(tblLookupEntries[lookup_type],"gate_id",tblLookupEntries[display_value],tblPhases[[#This Row],[lifecycle_phase_key]])=0,IF(tblPhases[[#This Row],[gate_id]]="","valid","unexpected_gate"),IF(COUNTIFS(tblLookupEntries[lookup_type],"gate_id",tblLookupEntries[key],tblPhases[[#This Row],[gate_id]],tblLookupEntries[display_value],tblPhases[[#This Row],[lifecycle_phase_key]])&gt;0,"valid","gate_mismatch")))</f>
        <v/>
      </c>
      <c r="L6" s="14">
        <f>IF(tblPhases[[#This Row],[phase_id]]="","",IF(AND(tblPhases[[#This Row],[entered_at]]&lt;&gt;"",tblPhases[[#This Row],[entered_at]]&gt;=event_reconciliation_from_at,COUNTIFS(tblEventLog[subject_id],tblPhases[[#This Row],[phase_id]],tblEventLog[event_type],"phase.entered")=0),"missing:phase.entered",IF(AND(tblPhases[[#This Row],[exited_at]]&lt;&gt;"",tblPhases[[#This Row],[exited_at]]&gt;=event_reconciliation_from_at,COUNTIFS(tblEventLog[subject_id],tblPhases[[#This Row],[phase_id]],tblEventLog[event_type],"phase.exited")=0),"missing:phase.exited",IF(OR(AND(tblPhases[[#This Row],[entered_at]]&lt;&gt;"",tblPhases[[#This Row],[entered_at]]&gt;=event_reconciliation_from_at),AND(tblPhases[[#This Row],[exited_at]]&lt;&gt;"",tblPhases[[#This Row],[exited_at]]&gt;=event_reconciliation_from_at)),"logged","before_window"))))</f>
        <v/>
      </c>
      <c r="N6" s="6" t="inlineStr">
        <is>
          <t>MLS-000002</t>
        </is>
      </c>
      <c r="O6" s="6" t="inlineStr">
        <is>
          <t>PRJ-000001</t>
        </is>
      </c>
      <c r="P6" s="6" t="inlineStr">
        <is>
          <t>PHS-000002</t>
        </is>
      </c>
      <c r="Q6" s="6" t="inlineStr">
        <is>
          <t>Current-state discovery signed off</t>
        </is>
      </c>
      <c r="R6" s="6" t="inlineStr">
        <is>
          <t>planned</t>
        </is>
      </c>
      <c r="S6" s="6" t="inlineStr">
        <is>
          <t>2026-10-09</t>
        </is>
      </c>
      <c r="T6" s="6" t="n"/>
      <c r="U6" s="7" t="b">
        <v>1</v>
      </c>
      <c r="V6" s="6" t="inlineStr">
        <is>
          <t>ROL-000001</t>
        </is>
      </c>
      <c r="W6" s="6" t="inlineStr">
        <is>
          <t>0.1.0</t>
        </is>
      </c>
      <c r="X6" s="14">
        <f>IF(tblMilestones[[#This Row],[milestone_id]]="","",IF(COUNTIF(tblProjects[project_id],tblMilestones[[#This Row],[project_id]])=0,"orphan_project",IF(COUNTIFS(tblPhases[phase_id],tblMilestones[[#This Row],[phase_id]],tblPhases[project_id],tblMilestones[[#This Row],[project_id]])=0,"orphan_phase","valid")))</f>
        <v/>
      </c>
      <c r="Y6" s="14">
        <f>IF(tblMilestones[[#This Row],[milestone_id]]="","",IF(AND(tblMilestones[[#This Row],[status]]="achieved",tblMilestones[[#This Row],[completed_date]]&amp;"T23:59:59Z"&gt;=event_reconciliation_from_at,COUNTIFS(tblEventLog[subject_id],tblMilestones[[#This Row],[milestone_id]],tblEventLog[event_type],"milestone.achieved")=0),"missing:milestone.achieved",IF(AND(tblMilestones[[#This Row],[status]]="missed",tblMilestones[[#This Row],[target_date]]&amp;"T23:59:59Z"&gt;=event_reconciliation_from_at,COUNTIFS(tblEventLog[subject_id],tblMilestones[[#This Row],[milestone_id]],tblEventLog[event_type],"milestone.missed")=0),"missing:milestone.missed",IF(OR(AND(tblMilestones[[#This Row],[status]]="achieved",tblMilestones[[#This Row],[completed_date]]&amp;"T23:59:59Z"&gt;=event_reconciliation_from_at),AND(tblMilestones[[#This Row],[status]]="missed",tblMilestones[[#This Row],[target_date]]&amp;"T23:59:59Z"&gt;=event_reconciliation_from_at)),"logged","not_required_or_before_window"))))</f>
        <v/>
      </c>
    </row>
    <row r="7">
      <c r="A7" s="6" t="inlineStr">
        <is>
          <t>PHS-000003</t>
        </is>
      </c>
      <c r="B7" s="6" t="inlineStr">
        <is>
          <t>PRJ-000002</t>
        </is>
      </c>
      <c r="C7" s="6" t="inlineStr">
        <is>
          <t>initiate</t>
        </is>
      </c>
      <c r="D7" s="6" t="inlineStr">
        <is>
          <t>completed</t>
        </is>
      </c>
      <c r="E7" s="6" t="inlineStr">
        <is>
          <t>2026-06-01T15:05:00Z</t>
        </is>
      </c>
      <c r="F7" s="6" t="inlineStr">
        <is>
          <t>2026-06-12T17:00:00Z</t>
        </is>
      </c>
      <c r="G7" s="6" t="inlineStr">
        <is>
          <t>ROL-000001</t>
        </is>
      </c>
      <c r="H7" s="6" t="inlineStr">
        <is>
          <t>initiate_gate</t>
        </is>
      </c>
      <c r="I7" s="6" t="inlineStr">
        <is>
          <t>0.1.0</t>
        </is>
      </c>
      <c r="J7" s="14">
        <f>IF(tblPhases[[#This Row],[phase_id]]="","",IF(COUNTIF(tblProjects[project_id],tblPhases[[#This Row],[project_id]])=0,"orphan_project","valid"))</f>
        <v/>
      </c>
      <c r="K7" s="14">
        <f>IF(tblPhases[[#This Row],[phase_id]]="","",IF(COUNTIFS(tblLookupEntries[lookup_type],"gate_id",tblLookupEntries[display_value],tblPhases[[#This Row],[lifecycle_phase_key]])=0,IF(tblPhases[[#This Row],[gate_id]]="","valid","unexpected_gate"),IF(COUNTIFS(tblLookupEntries[lookup_type],"gate_id",tblLookupEntries[key],tblPhases[[#This Row],[gate_id]],tblLookupEntries[display_value],tblPhases[[#This Row],[lifecycle_phase_key]])&gt;0,"valid","gate_mismatch")))</f>
        <v/>
      </c>
      <c r="L7" s="14">
        <f>IF(tblPhases[[#This Row],[phase_id]]="","",IF(AND(tblPhases[[#This Row],[entered_at]]&lt;&gt;"",tblPhases[[#This Row],[entered_at]]&gt;=event_reconciliation_from_at,COUNTIFS(tblEventLog[subject_id],tblPhases[[#This Row],[phase_id]],tblEventLog[event_type],"phase.entered")=0),"missing:phase.entered",IF(AND(tblPhases[[#This Row],[exited_at]]&lt;&gt;"",tblPhases[[#This Row],[exited_at]]&gt;=event_reconciliation_from_at,COUNTIFS(tblEventLog[subject_id],tblPhases[[#This Row],[phase_id]],tblEventLog[event_type],"phase.exited")=0),"missing:phase.exited",IF(OR(AND(tblPhases[[#This Row],[entered_at]]&lt;&gt;"",tblPhases[[#This Row],[entered_at]]&gt;=event_reconciliation_from_at),AND(tblPhases[[#This Row],[exited_at]]&lt;&gt;"",tblPhases[[#This Row],[exited_at]]&gt;=event_reconciliation_from_at)),"logged","before_window"))))</f>
        <v/>
      </c>
      <c r="N7" s="6" t="inlineStr">
        <is>
          <t>MLS-000003</t>
        </is>
      </c>
      <c r="O7" s="6" t="inlineStr">
        <is>
          <t>PRJ-000002</t>
        </is>
      </c>
      <c r="P7" s="6" t="inlineStr">
        <is>
          <t>PHS-000003</t>
        </is>
      </c>
      <c r="Q7" s="6" t="inlineStr">
        <is>
          <t>Kickoff completed</t>
        </is>
      </c>
      <c r="R7" s="6" t="inlineStr">
        <is>
          <t>achieved</t>
        </is>
      </c>
      <c r="S7" s="6" t="inlineStr">
        <is>
          <t>2026-06-05</t>
        </is>
      </c>
      <c r="T7" s="6" t="inlineStr">
        <is>
          <t>2026-06-04</t>
        </is>
      </c>
      <c r="U7" s="7" t="b">
        <v>1</v>
      </c>
      <c r="V7" s="6" t="inlineStr">
        <is>
          <t>ROL-000001</t>
        </is>
      </c>
      <c r="W7" s="6" t="inlineStr">
        <is>
          <t>0.1.0</t>
        </is>
      </c>
      <c r="X7" s="14">
        <f>IF(tblMilestones[[#This Row],[milestone_id]]="","",IF(COUNTIF(tblProjects[project_id],tblMilestones[[#This Row],[project_id]])=0,"orphan_project",IF(COUNTIFS(tblPhases[phase_id],tblMilestones[[#This Row],[phase_id]],tblPhases[project_id],tblMilestones[[#This Row],[project_id]])=0,"orphan_phase","valid")))</f>
        <v/>
      </c>
      <c r="Y7" s="14">
        <f>IF(tblMilestones[[#This Row],[milestone_id]]="","",IF(AND(tblMilestones[[#This Row],[status]]="achieved",tblMilestones[[#This Row],[completed_date]]&amp;"T23:59:59Z"&gt;=event_reconciliation_from_at,COUNTIFS(tblEventLog[subject_id],tblMilestones[[#This Row],[milestone_id]],tblEventLog[event_type],"milestone.achieved")=0),"missing:milestone.achieved",IF(AND(tblMilestones[[#This Row],[status]]="missed",tblMilestones[[#This Row],[target_date]]&amp;"T23:59:59Z"&gt;=event_reconciliation_from_at,COUNTIFS(tblEventLog[subject_id],tblMilestones[[#This Row],[milestone_id]],tblEventLog[event_type],"milestone.missed")=0),"missing:milestone.missed",IF(OR(AND(tblMilestones[[#This Row],[status]]="achieved",tblMilestones[[#This Row],[completed_date]]&amp;"T23:59:59Z"&gt;=event_reconciliation_from_at),AND(tblMilestones[[#This Row],[status]]="missed",tblMilestones[[#This Row],[target_date]]&amp;"T23:59:59Z"&gt;=event_reconciliation_from_at)),"logged","not_required_or_before_window"))))</f>
        <v/>
      </c>
    </row>
    <row r="8">
      <c r="A8" s="6" t="inlineStr">
        <is>
          <t>PHS-000004</t>
        </is>
      </c>
      <c r="B8" s="6" t="inlineStr">
        <is>
          <t>PRJ-000002</t>
        </is>
      </c>
      <c r="C8" s="6" t="inlineStr">
        <is>
          <t>discover</t>
        </is>
      </c>
      <c r="D8" s="6" t="inlineStr">
        <is>
          <t>completed</t>
        </is>
      </c>
      <c r="E8" s="6" t="inlineStr">
        <is>
          <t>2026-06-12T17:05:00Z</t>
        </is>
      </c>
      <c r="F8" s="6" t="inlineStr">
        <is>
          <t>2026-07-03T16:00:00Z</t>
        </is>
      </c>
      <c r="G8" s="6" t="inlineStr">
        <is>
          <t>ROL-000001</t>
        </is>
      </c>
      <c r="H8" s="6" t="inlineStr">
        <is>
          <t>discover_gate</t>
        </is>
      </c>
      <c r="I8" s="6" t="inlineStr">
        <is>
          <t>0.1.0</t>
        </is>
      </c>
      <c r="J8" s="14">
        <f>IF(tblPhases[[#This Row],[phase_id]]="","",IF(COUNTIF(tblProjects[project_id],tblPhases[[#This Row],[project_id]])=0,"orphan_project","valid"))</f>
        <v/>
      </c>
      <c r="K8" s="14">
        <f>IF(tblPhases[[#This Row],[phase_id]]="","",IF(COUNTIFS(tblLookupEntries[lookup_type],"gate_id",tblLookupEntries[display_value],tblPhases[[#This Row],[lifecycle_phase_key]])=0,IF(tblPhases[[#This Row],[gate_id]]="","valid","unexpected_gate"),IF(COUNTIFS(tblLookupEntries[lookup_type],"gate_id",tblLookupEntries[key],tblPhases[[#This Row],[gate_id]],tblLookupEntries[display_value],tblPhases[[#This Row],[lifecycle_phase_key]])&gt;0,"valid","gate_mismatch")))</f>
        <v/>
      </c>
      <c r="L8" s="14">
        <f>IF(tblPhases[[#This Row],[phase_id]]="","",IF(AND(tblPhases[[#This Row],[entered_at]]&lt;&gt;"",tblPhases[[#This Row],[entered_at]]&gt;=event_reconciliation_from_at,COUNTIFS(tblEventLog[subject_id],tblPhases[[#This Row],[phase_id]],tblEventLog[event_type],"phase.entered")=0),"missing:phase.entered",IF(AND(tblPhases[[#This Row],[exited_at]]&lt;&gt;"",tblPhases[[#This Row],[exited_at]]&gt;=event_reconciliation_from_at,COUNTIFS(tblEventLog[subject_id],tblPhases[[#This Row],[phase_id]],tblEventLog[event_type],"phase.exited")=0),"missing:phase.exited",IF(OR(AND(tblPhases[[#This Row],[entered_at]]&lt;&gt;"",tblPhases[[#This Row],[entered_at]]&gt;=event_reconciliation_from_at),AND(tblPhases[[#This Row],[exited_at]]&lt;&gt;"",tblPhases[[#This Row],[exited_at]]&gt;=event_reconciliation_from_at)),"logged","before_window"))))</f>
        <v/>
      </c>
      <c r="N8" s="6" t="inlineStr">
        <is>
          <t>MLS-000004</t>
        </is>
      </c>
      <c r="O8" s="6" t="inlineStr">
        <is>
          <t>PRJ-000002</t>
        </is>
      </c>
      <c r="P8" s="6" t="inlineStr">
        <is>
          <t>PHS-000005</t>
        </is>
      </c>
      <c r="Q8" s="6" t="inlineStr">
        <is>
          <t>Design approved</t>
        </is>
      </c>
      <c r="R8" s="6" t="inlineStr">
        <is>
          <t>achieved</t>
        </is>
      </c>
      <c r="S8" s="6" t="inlineStr">
        <is>
          <t>2026-08-14</t>
        </is>
      </c>
      <c r="T8" s="6" t="inlineStr">
        <is>
          <t>2026-09-10</t>
        </is>
      </c>
      <c r="U8" s="7" t="b">
        <v>1</v>
      </c>
      <c r="V8" s="6" t="inlineStr">
        <is>
          <t>ROL-000001</t>
        </is>
      </c>
      <c r="W8" s="6" t="inlineStr">
        <is>
          <t>0.1.0</t>
        </is>
      </c>
      <c r="X8" s="14">
        <f>IF(tblMilestones[[#This Row],[milestone_id]]="","",IF(COUNTIF(tblProjects[project_id],tblMilestones[[#This Row],[project_id]])=0,"orphan_project",IF(COUNTIFS(tblPhases[phase_id],tblMilestones[[#This Row],[phase_id]],tblPhases[project_id],tblMilestones[[#This Row],[project_id]])=0,"orphan_phase","valid")))</f>
        <v/>
      </c>
      <c r="Y8" s="14">
        <f>IF(tblMilestones[[#This Row],[milestone_id]]="","",IF(AND(tblMilestones[[#This Row],[status]]="achieved",tblMilestones[[#This Row],[completed_date]]&amp;"T23:59:59Z"&gt;=event_reconciliation_from_at,COUNTIFS(tblEventLog[subject_id],tblMilestones[[#This Row],[milestone_id]],tblEventLog[event_type],"milestone.achieved")=0),"missing:milestone.achieved",IF(AND(tblMilestones[[#This Row],[status]]="missed",tblMilestones[[#This Row],[target_date]]&amp;"T23:59:59Z"&gt;=event_reconciliation_from_at,COUNTIFS(tblEventLog[subject_id],tblMilestones[[#This Row],[milestone_id]],tblEventLog[event_type],"milestone.missed")=0),"missing:milestone.missed",IF(OR(AND(tblMilestones[[#This Row],[status]]="achieved",tblMilestones[[#This Row],[completed_date]]&amp;"T23:59:59Z"&gt;=event_reconciliation_from_at),AND(tblMilestones[[#This Row],[status]]="missed",tblMilestones[[#This Row],[target_date]]&amp;"T23:59:59Z"&gt;=event_reconciliation_from_at)),"logged","not_required_or_before_window"))))</f>
        <v/>
      </c>
    </row>
    <row r="9">
      <c r="A9" s="6" t="inlineStr">
        <is>
          <t>PHS-000005</t>
        </is>
      </c>
      <c r="B9" s="6" t="inlineStr">
        <is>
          <t>PRJ-000002</t>
        </is>
      </c>
      <c r="C9" s="6" t="inlineStr">
        <is>
          <t>design</t>
        </is>
      </c>
      <c r="D9" s="6" t="inlineStr">
        <is>
          <t>completed</t>
        </is>
      </c>
      <c r="E9" s="6" t="inlineStr">
        <is>
          <t>2026-07-03T16:05:00Z</t>
        </is>
      </c>
      <c r="F9" s="6" t="inlineStr">
        <is>
          <t>2026-09-11T15:00:00Z</t>
        </is>
      </c>
      <c r="G9" s="6" t="inlineStr">
        <is>
          <t>ROL-000001</t>
        </is>
      </c>
      <c r="H9" s="6" t="inlineStr">
        <is>
          <t>design_gate</t>
        </is>
      </c>
      <c r="I9" s="6" t="inlineStr">
        <is>
          <t>0.1.0</t>
        </is>
      </c>
      <c r="J9" s="14">
        <f>IF(tblPhases[[#This Row],[phase_id]]="","",IF(COUNTIF(tblProjects[project_id],tblPhases[[#This Row],[project_id]])=0,"orphan_project","valid"))</f>
        <v/>
      </c>
      <c r="K9" s="14">
        <f>IF(tblPhases[[#This Row],[phase_id]]="","",IF(COUNTIFS(tblLookupEntries[lookup_type],"gate_id",tblLookupEntries[display_value],tblPhases[[#This Row],[lifecycle_phase_key]])=0,IF(tblPhases[[#This Row],[gate_id]]="","valid","unexpected_gate"),IF(COUNTIFS(tblLookupEntries[lookup_type],"gate_id",tblLookupEntries[key],tblPhases[[#This Row],[gate_id]],tblLookupEntries[display_value],tblPhases[[#This Row],[lifecycle_phase_key]])&gt;0,"valid","gate_mismatch")))</f>
        <v/>
      </c>
      <c r="L9" s="14">
        <f>IF(tblPhases[[#This Row],[phase_id]]="","",IF(AND(tblPhases[[#This Row],[entered_at]]&lt;&gt;"",tblPhases[[#This Row],[entered_at]]&gt;=event_reconciliation_from_at,COUNTIFS(tblEventLog[subject_id],tblPhases[[#This Row],[phase_id]],tblEventLog[event_type],"phase.entered")=0),"missing:phase.entered",IF(AND(tblPhases[[#This Row],[exited_at]]&lt;&gt;"",tblPhases[[#This Row],[exited_at]]&gt;=event_reconciliation_from_at,COUNTIFS(tblEventLog[subject_id],tblPhases[[#This Row],[phase_id]],tblEventLog[event_type],"phase.exited")=0),"missing:phase.exited",IF(OR(AND(tblPhases[[#This Row],[entered_at]]&lt;&gt;"",tblPhases[[#This Row],[entered_at]]&gt;=event_reconciliation_from_at),AND(tblPhases[[#This Row],[exited_at]]&lt;&gt;"",tblPhases[[#This Row],[exited_at]]&gt;=event_reconciliation_from_at)),"logged","before_window"))))</f>
        <v/>
      </c>
      <c r="N9" s="6" t="inlineStr">
        <is>
          <t>MLS-000005</t>
        </is>
      </c>
      <c r="O9" s="6" t="inlineStr">
        <is>
          <t>PRJ-000002</t>
        </is>
      </c>
      <c r="P9" s="6" t="inlineStr">
        <is>
          <t>PHS-000006</t>
        </is>
      </c>
      <c r="Q9" s="6" t="inlineStr">
        <is>
          <t>Integration build complete</t>
        </is>
      </c>
      <c r="R9" s="6" t="inlineStr">
        <is>
          <t>missed</t>
        </is>
      </c>
      <c r="S9" s="6" t="inlineStr">
        <is>
          <t>2026-10-02</t>
        </is>
      </c>
      <c r="T9" s="6" t="n"/>
      <c r="U9" s="7" t="b">
        <v>1</v>
      </c>
      <c r="V9" s="6" t="inlineStr">
        <is>
          <t>ROL-000004</t>
        </is>
      </c>
      <c r="W9" s="6" t="inlineStr">
        <is>
          <t>0.1.0</t>
        </is>
      </c>
      <c r="X9" s="14">
        <f>IF(tblMilestones[[#This Row],[milestone_id]]="","",IF(COUNTIF(tblProjects[project_id],tblMilestones[[#This Row],[project_id]])=0,"orphan_project",IF(COUNTIFS(tblPhases[phase_id],tblMilestones[[#This Row],[phase_id]],tblPhases[project_id],tblMilestones[[#This Row],[project_id]])=0,"orphan_phase","valid")))</f>
        <v/>
      </c>
      <c r="Y9" s="14">
        <f>IF(tblMilestones[[#This Row],[milestone_id]]="","",IF(AND(tblMilestones[[#This Row],[status]]="achieved",tblMilestones[[#This Row],[completed_date]]&amp;"T23:59:59Z"&gt;=event_reconciliation_from_at,COUNTIFS(tblEventLog[subject_id],tblMilestones[[#This Row],[milestone_id]],tblEventLog[event_type],"milestone.achieved")=0),"missing:milestone.achieved",IF(AND(tblMilestones[[#This Row],[status]]="missed",tblMilestones[[#This Row],[target_date]]&amp;"T23:59:59Z"&gt;=event_reconciliation_from_at,COUNTIFS(tblEventLog[subject_id],tblMilestones[[#This Row],[milestone_id]],tblEventLog[event_type],"milestone.missed")=0),"missing:milestone.missed",IF(OR(AND(tblMilestones[[#This Row],[status]]="achieved",tblMilestones[[#This Row],[completed_date]]&amp;"T23:59:59Z"&gt;=event_reconciliation_from_at),AND(tblMilestones[[#This Row],[status]]="missed",tblMilestones[[#This Row],[target_date]]&amp;"T23:59:59Z"&gt;=event_reconciliation_from_at)),"logged","not_required_or_before_window"))))</f>
        <v/>
      </c>
    </row>
    <row r="10">
      <c r="A10" s="6" t="inlineStr">
        <is>
          <t>PHS-000006</t>
        </is>
      </c>
      <c r="B10" s="6" t="inlineStr">
        <is>
          <t>PRJ-000002</t>
        </is>
      </c>
      <c r="C10" s="6" t="inlineStr">
        <is>
          <t>build</t>
        </is>
      </c>
      <c r="D10" s="6" t="inlineStr">
        <is>
          <t>active</t>
        </is>
      </c>
      <c r="E10" s="6" t="inlineStr">
        <is>
          <t>2026-09-11T15:05:00Z</t>
        </is>
      </c>
      <c r="F10" s="6" t="n"/>
      <c r="G10" s="6" t="inlineStr">
        <is>
          <t>ROL-000004</t>
        </is>
      </c>
      <c r="H10" s="6" t="inlineStr">
        <is>
          <t>build_gate</t>
        </is>
      </c>
      <c r="I10" s="6" t="inlineStr">
        <is>
          <t>0.1.0</t>
        </is>
      </c>
      <c r="J10" s="14">
        <f>IF(tblPhases[[#This Row],[phase_id]]="","",IF(COUNTIF(tblProjects[project_id],tblPhases[[#This Row],[project_id]])=0,"orphan_project","valid"))</f>
        <v/>
      </c>
      <c r="K10" s="14">
        <f>IF(tblPhases[[#This Row],[phase_id]]="","",IF(COUNTIFS(tblLookupEntries[lookup_type],"gate_id",tblLookupEntries[display_value],tblPhases[[#This Row],[lifecycle_phase_key]])=0,IF(tblPhases[[#This Row],[gate_id]]="","valid","unexpected_gate"),IF(COUNTIFS(tblLookupEntries[lookup_type],"gate_id",tblLookupEntries[key],tblPhases[[#This Row],[gate_id]],tblLookupEntries[display_value],tblPhases[[#This Row],[lifecycle_phase_key]])&gt;0,"valid","gate_mismatch")))</f>
        <v/>
      </c>
      <c r="L10" s="14">
        <f>IF(tblPhases[[#This Row],[phase_id]]="","",IF(AND(tblPhases[[#This Row],[entered_at]]&lt;&gt;"",tblPhases[[#This Row],[entered_at]]&gt;=event_reconciliation_from_at,COUNTIFS(tblEventLog[subject_id],tblPhases[[#This Row],[phase_id]],tblEventLog[event_type],"phase.entered")=0),"missing:phase.entered",IF(AND(tblPhases[[#This Row],[exited_at]]&lt;&gt;"",tblPhases[[#This Row],[exited_at]]&gt;=event_reconciliation_from_at,COUNTIFS(tblEventLog[subject_id],tblPhases[[#This Row],[phase_id]],tblEventLog[event_type],"phase.exited")=0),"missing:phase.exited",IF(OR(AND(tblPhases[[#This Row],[entered_at]]&lt;&gt;"",tblPhases[[#This Row],[entered_at]]&gt;=event_reconciliation_from_at),AND(tblPhases[[#This Row],[exited_at]]&lt;&gt;"",tblPhases[[#This Row],[exited_at]]&gt;=event_reconciliation_from_at)),"logged","before_window"))))</f>
        <v/>
      </c>
      <c r="N10" s="6" t="inlineStr">
        <is>
          <t>MLS-000006</t>
        </is>
      </c>
      <c r="O10" s="6" t="inlineStr">
        <is>
          <t>PRJ-000002</t>
        </is>
      </c>
      <c r="P10" s="6" t="inlineStr">
        <is>
          <t>PHS-000006</t>
        </is>
      </c>
      <c r="Q10" s="6" t="inlineStr">
        <is>
          <t>Configuration build complete</t>
        </is>
      </c>
      <c r="R10" s="6" t="inlineStr">
        <is>
          <t>planned</t>
        </is>
      </c>
      <c r="S10" s="6" t="inlineStr">
        <is>
          <t>2026-10-16</t>
        </is>
      </c>
      <c r="T10" s="6" t="n"/>
      <c r="U10" s="7" t="b">
        <v>0</v>
      </c>
      <c r="V10" s="6" t="inlineStr">
        <is>
          <t>ROL-000004</t>
        </is>
      </c>
      <c r="W10" s="6" t="inlineStr">
        <is>
          <t>0.1.0</t>
        </is>
      </c>
      <c r="X10" s="14">
        <f>IF(tblMilestones[[#This Row],[milestone_id]]="","",IF(COUNTIF(tblProjects[project_id],tblMilestones[[#This Row],[project_id]])=0,"orphan_project",IF(COUNTIFS(tblPhases[phase_id],tblMilestones[[#This Row],[phase_id]],tblPhases[project_id],tblMilestones[[#This Row],[project_id]])=0,"orphan_phase","valid")))</f>
        <v/>
      </c>
      <c r="Y10" s="14">
        <f>IF(tblMilestones[[#This Row],[milestone_id]]="","",IF(AND(tblMilestones[[#This Row],[status]]="achieved",tblMilestones[[#This Row],[completed_date]]&amp;"T23:59:59Z"&gt;=event_reconciliation_from_at,COUNTIFS(tblEventLog[subject_id],tblMilestones[[#This Row],[milestone_id]],tblEventLog[event_type],"milestone.achieved")=0),"missing:milestone.achieved",IF(AND(tblMilestones[[#This Row],[status]]="missed",tblMilestones[[#This Row],[target_date]]&amp;"T23:59:59Z"&gt;=event_reconciliation_from_at,COUNTIFS(tblEventLog[subject_id],tblMilestones[[#This Row],[milestone_id]],tblEventLog[event_type],"milestone.missed")=0),"missing:milestone.missed",IF(OR(AND(tblMilestones[[#This Row],[status]]="achieved",tblMilestones[[#This Row],[completed_date]]&amp;"T23:59:59Z"&gt;=event_reconciliation_from_at),AND(tblMilestones[[#This Row],[status]]="missed",tblMilestones[[#This Row],[target_date]]&amp;"T23:59:59Z"&gt;=event_reconciliation_from_at)),"logged","not_required_or_before_window"))))</f>
        <v/>
      </c>
    </row>
    <row r="11">
      <c r="A11" s="6" t="inlineStr">
        <is>
          <t>PHS-000007</t>
        </is>
      </c>
      <c r="B11" s="6" t="inlineStr">
        <is>
          <t>PRJ-000003</t>
        </is>
      </c>
      <c r="C11" s="6" t="inlineStr">
        <is>
          <t>initiate</t>
        </is>
      </c>
      <c r="D11" s="6" t="inlineStr">
        <is>
          <t>completed</t>
        </is>
      </c>
      <c r="E11" s="6" t="inlineStr">
        <is>
          <t>2026-03-02T15:05:00Z</t>
        </is>
      </c>
      <c r="F11" s="6" t="inlineStr">
        <is>
          <t>2026-03-13T17:00:00Z</t>
        </is>
      </c>
      <c r="G11" s="6" t="inlineStr">
        <is>
          <t>ROL-000001</t>
        </is>
      </c>
      <c r="H11" s="6" t="inlineStr">
        <is>
          <t>initiate_gate</t>
        </is>
      </c>
      <c r="I11" s="6" t="inlineStr">
        <is>
          <t>0.1.0</t>
        </is>
      </c>
      <c r="J11" s="14">
        <f>IF(tblPhases[[#This Row],[phase_id]]="","",IF(COUNTIF(tblProjects[project_id],tblPhases[[#This Row],[project_id]])=0,"orphan_project","valid"))</f>
        <v/>
      </c>
      <c r="K11" s="14">
        <f>IF(tblPhases[[#This Row],[phase_id]]="","",IF(COUNTIFS(tblLookupEntries[lookup_type],"gate_id",tblLookupEntries[display_value],tblPhases[[#This Row],[lifecycle_phase_key]])=0,IF(tblPhases[[#This Row],[gate_id]]="","valid","unexpected_gate"),IF(COUNTIFS(tblLookupEntries[lookup_type],"gate_id",tblLookupEntries[key],tblPhases[[#This Row],[gate_id]],tblLookupEntries[display_value],tblPhases[[#This Row],[lifecycle_phase_key]])&gt;0,"valid","gate_mismatch")))</f>
        <v/>
      </c>
      <c r="L11" s="14">
        <f>IF(tblPhases[[#This Row],[phase_id]]="","",IF(AND(tblPhases[[#This Row],[entered_at]]&lt;&gt;"",tblPhases[[#This Row],[entered_at]]&gt;=event_reconciliation_from_at,COUNTIFS(tblEventLog[subject_id],tblPhases[[#This Row],[phase_id]],tblEventLog[event_type],"phase.entered")=0),"missing:phase.entered",IF(AND(tblPhases[[#This Row],[exited_at]]&lt;&gt;"",tblPhases[[#This Row],[exited_at]]&gt;=event_reconciliation_from_at,COUNTIFS(tblEventLog[subject_id],tblPhases[[#This Row],[phase_id]],tblEventLog[event_type],"phase.exited")=0),"missing:phase.exited",IF(OR(AND(tblPhases[[#This Row],[entered_at]]&lt;&gt;"",tblPhases[[#This Row],[entered_at]]&gt;=event_reconciliation_from_at),AND(tblPhases[[#This Row],[exited_at]]&lt;&gt;"",tblPhases[[#This Row],[exited_at]]&gt;=event_reconciliation_from_at)),"logged","before_window"))))</f>
        <v/>
      </c>
      <c r="N11" s="6" t="inlineStr">
        <is>
          <t>MLS-000007</t>
        </is>
      </c>
      <c r="O11" s="6" t="inlineStr">
        <is>
          <t>PRJ-000003</t>
        </is>
      </c>
      <c r="P11" s="6" t="inlineStr">
        <is>
          <t>PHS-000007</t>
        </is>
      </c>
      <c r="Q11" s="6" t="inlineStr">
        <is>
          <t>Kickoff completed</t>
        </is>
      </c>
      <c r="R11" s="6" t="inlineStr">
        <is>
          <t>achieved</t>
        </is>
      </c>
      <c r="S11" s="6" t="inlineStr">
        <is>
          <t>2026-03-06</t>
        </is>
      </c>
      <c r="T11" s="6" t="inlineStr">
        <is>
          <t>2026-03-05</t>
        </is>
      </c>
      <c r="U11" s="7" t="b">
        <v>1</v>
      </c>
      <c r="V11" s="6" t="inlineStr">
        <is>
          <t>ROL-000001</t>
        </is>
      </c>
      <c r="W11" s="6" t="inlineStr">
        <is>
          <t>0.1.0</t>
        </is>
      </c>
      <c r="X11" s="14">
        <f>IF(tblMilestones[[#This Row],[milestone_id]]="","",IF(COUNTIF(tblProjects[project_id],tblMilestones[[#This Row],[project_id]])=0,"orphan_project",IF(COUNTIFS(tblPhases[phase_id],tblMilestones[[#This Row],[phase_id]],tblPhases[project_id],tblMilestones[[#This Row],[project_id]])=0,"orphan_phase","valid")))</f>
        <v/>
      </c>
      <c r="Y11" s="14">
        <f>IF(tblMilestones[[#This Row],[milestone_id]]="","",IF(AND(tblMilestones[[#This Row],[status]]="achieved",tblMilestones[[#This Row],[completed_date]]&amp;"T23:59:59Z"&gt;=event_reconciliation_from_at,COUNTIFS(tblEventLog[subject_id],tblMilestones[[#This Row],[milestone_id]],tblEventLog[event_type],"milestone.achieved")=0),"missing:milestone.achieved",IF(AND(tblMilestones[[#This Row],[status]]="missed",tblMilestones[[#This Row],[target_date]]&amp;"T23:59:59Z"&gt;=event_reconciliation_from_at,COUNTIFS(tblEventLog[subject_id],tblMilestones[[#This Row],[milestone_id]],tblEventLog[event_type],"milestone.missed")=0),"missing:milestone.missed",IF(OR(AND(tblMilestones[[#This Row],[status]]="achieved",tblMilestones[[#This Row],[completed_date]]&amp;"T23:59:59Z"&gt;=event_reconciliation_from_at),AND(tblMilestones[[#This Row],[status]]="missed",tblMilestones[[#This Row],[target_date]]&amp;"T23:59:59Z"&gt;=event_reconciliation_from_at)),"logged","not_required_or_before_window"))))</f>
        <v/>
      </c>
    </row>
    <row r="12">
      <c r="A12" s="6" t="inlineStr">
        <is>
          <t>PHS-000008</t>
        </is>
      </c>
      <c r="B12" s="6" t="inlineStr">
        <is>
          <t>PRJ-000003</t>
        </is>
      </c>
      <c r="C12" s="6" t="inlineStr">
        <is>
          <t>discover</t>
        </is>
      </c>
      <c r="D12" s="6" t="inlineStr">
        <is>
          <t>completed</t>
        </is>
      </c>
      <c r="E12" s="6" t="inlineStr">
        <is>
          <t>2026-03-13T17:05:00Z</t>
        </is>
      </c>
      <c r="F12" s="6" t="inlineStr">
        <is>
          <t>2026-04-10T16:00:00Z</t>
        </is>
      </c>
      <c r="G12" s="6" t="inlineStr">
        <is>
          <t>ROL-000001</t>
        </is>
      </c>
      <c r="H12" s="6" t="inlineStr">
        <is>
          <t>discover_gate</t>
        </is>
      </c>
      <c r="I12" s="6" t="inlineStr">
        <is>
          <t>0.1.0</t>
        </is>
      </c>
      <c r="J12" s="14">
        <f>IF(tblPhases[[#This Row],[phase_id]]="","",IF(COUNTIF(tblProjects[project_id],tblPhases[[#This Row],[project_id]])=0,"orphan_project","valid"))</f>
        <v/>
      </c>
      <c r="K12" s="14">
        <f>IF(tblPhases[[#This Row],[phase_id]]="","",IF(COUNTIFS(tblLookupEntries[lookup_type],"gate_id",tblLookupEntries[display_value],tblPhases[[#This Row],[lifecycle_phase_key]])=0,IF(tblPhases[[#This Row],[gate_id]]="","valid","unexpected_gate"),IF(COUNTIFS(tblLookupEntries[lookup_type],"gate_id",tblLookupEntries[key],tblPhases[[#This Row],[gate_id]],tblLookupEntries[display_value],tblPhases[[#This Row],[lifecycle_phase_key]])&gt;0,"valid","gate_mismatch")))</f>
        <v/>
      </c>
      <c r="L12" s="14">
        <f>IF(tblPhases[[#This Row],[phase_id]]="","",IF(AND(tblPhases[[#This Row],[entered_at]]&lt;&gt;"",tblPhases[[#This Row],[entered_at]]&gt;=event_reconciliation_from_at,COUNTIFS(tblEventLog[subject_id],tblPhases[[#This Row],[phase_id]],tblEventLog[event_type],"phase.entered")=0),"missing:phase.entered",IF(AND(tblPhases[[#This Row],[exited_at]]&lt;&gt;"",tblPhases[[#This Row],[exited_at]]&gt;=event_reconciliation_from_at,COUNTIFS(tblEventLog[subject_id],tblPhases[[#This Row],[phase_id]],tblEventLog[event_type],"phase.exited")=0),"missing:phase.exited",IF(OR(AND(tblPhases[[#This Row],[entered_at]]&lt;&gt;"",tblPhases[[#This Row],[entered_at]]&gt;=event_reconciliation_from_at),AND(tblPhases[[#This Row],[exited_at]]&lt;&gt;"",tblPhases[[#This Row],[exited_at]]&gt;=event_reconciliation_from_at)),"logged","before_window"))))</f>
        <v/>
      </c>
      <c r="N12" s="6" t="inlineStr">
        <is>
          <t>MLS-000008</t>
        </is>
      </c>
      <c r="O12" s="6" t="inlineStr">
        <is>
          <t>PRJ-000003</t>
        </is>
      </c>
      <c r="P12" s="6" t="inlineStr">
        <is>
          <t>PHS-000009</t>
        </is>
      </c>
      <c r="Q12" s="6" t="inlineStr">
        <is>
          <t>Design approved</t>
        </is>
      </c>
      <c r="R12" s="6" t="inlineStr">
        <is>
          <t>achieved</t>
        </is>
      </c>
      <c r="S12" s="6" t="inlineStr">
        <is>
          <t>2026-05-15</t>
        </is>
      </c>
      <c r="T12" s="6" t="inlineStr">
        <is>
          <t>2026-05-14</t>
        </is>
      </c>
      <c r="U12" s="7" t="b">
        <v>1</v>
      </c>
      <c r="V12" s="6" t="inlineStr">
        <is>
          <t>ROL-000001</t>
        </is>
      </c>
      <c r="W12" s="6" t="inlineStr">
        <is>
          <t>0.1.0</t>
        </is>
      </c>
      <c r="X12" s="14">
        <f>IF(tblMilestones[[#This Row],[milestone_id]]="","",IF(COUNTIF(tblProjects[project_id],tblMilestones[[#This Row],[project_id]])=0,"orphan_project",IF(COUNTIFS(tblPhases[phase_id],tblMilestones[[#This Row],[phase_id]],tblPhases[project_id],tblMilestones[[#This Row],[project_id]])=0,"orphan_phase","valid")))</f>
        <v/>
      </c>
      <c r="Y12" s="14">
        <f>IF(tblMilestones[[#This Row],[milestone_id]]="","",IF(AND(tblMilestones[[#This Row],[status]]="achieved",tblMilestones[[#This Row],[completed_date]]&amp;"T23:59:59Z"&gt;=event_reconciliation_from_at,COUNTIFS(tblEventLog[subject_id],tblMilestones[[#This Row],[milestone_id]],tblEventLog[event_type],"milestone.achieved")=0),"missing:milestone.achieved",IF(AND(tblMilestones[[#This Row],[status]]="missed",tblMilestones[[#This Row],[target_date]]&amp;"T23:59:59Z"&gt;=event_reconciliation_from_at,COUNTIFS(tblEventLog[subject_id],tblMilestones[[#This Row],[milestone_id]],tblEventLog[event_type],"milestone.missed")=0),"missing:milestone.missed",IF(OR(AND(tblMilestones[[#This Row],[status]]="achieved",tblMilestones[[#This Row],[completed_date]]&amp;"T23:59:59Z"&gt;=event_reconciliation_from_at),AND(tblMilestones[[#This Row],[status]]="missed",tblMilestones[[#This Row],[target_date]]&amp;"T23:59:59Z"&gt;=event_reconciliation_from_at)),"logged","not_required_or_before_window"))))</f>
        <v/>
      </c>
    </row>
    <row r="13">
      <c r="A13" s="6" t="inlineStr">
        <is>
          <t>PHS-000009</t>
        </is>
      </c>
      <c r="B13" s="6" t="inlineStr">
        <is>
          <t>PRJ-000003</t>
        </is>
      </c>
      <c r="C13" s="6" t="inlineStr">
        <is>
          <t>design</t>
        </is>
      </c>
      <c r="D13" s="6" t="inlineStr">
        <is>
          <t>completed</t>
        </is>
      </c>
      <c r="E13" s="6" t="inlineStr">
        <is>
          <t>2026-04-10T16:05:00Z</t>
        </is>
      </c>
      <c r="F13" s="6" t="inlineStr">
        <is>
          <t>2026-05-15T16:00:00Z</t>
        </is>
      </c>
      <c r="G13" s="6" t="inlineStr">
        <is>
          <t>ROL-000001</t>
        </is>
      </c>
      <c r="H13" s="6" t="inlineStr">
        <is>
          <t>design_gate</t>
        </is>
      </c>
      <c r="I13" s="6" t="inlineStr">
        <is>
          <t>0.1.0</t>
        </is>
      </c>
      <c r="J13" s="14">
        <f>IF(tblPhases[[#This Row],[phase_id]]="","",IF(COUNTIF(tblProjects[project_id],tblPhases[[#This Row],[project_id]])=0,"orphan_project","valid"))</f>
        <v/>
      </c>
      <c r="K13" s="14">
        <f>IF(tblPhases[[#This Row],[phase_id]]="","",IF(COUNTIFS(tblLookupEntries[lookup_type],"gate_id",tblLookupEntries[display_value],tblPhases[[#This Row],[lifecycle_phase_key]])=0,IF(tblPhases[[#This Row],[gate_id]]="","valid","unexpected_gate"),IF(COUNTIFS(tblLookupEntries[lookup_type],"gate_id",tblLookupEntries[key],tblPhases[[#This Row],[gate_id]],tblLookupEntries[display_value],tblPhases[[#This Row],[lifecycle_phase_key]])&gt;0,"valid","gate_mismatch")))</f>
        <v/>
      </c>
      <c r="L13" s="14">
        <f>IF(tblPhases[[#This Row],[phase_id]]="","",IF(AND(tblPhases[[#This Row],[entered_at]]&lt;&gt;"",tblPhases[[#This Row],[entered_at]]&gt;=event_reconciliation_from_at,COUNTIFS(tblEventLog[subject_id],tblPhases[[#This Row],[phase_id]],tblEventLog[event_type],"phase.entered")=0),"missing:phase.entered",IF(AND(tblPhases[[#This Row],[exited_at]]&lt;&gt;"",tblPhases[[#This Row],[exited_at]]&gt;=event_reconciliation_from_at,COUNTIFS(tblEventLog[subject_id],tblPhases[[#This Row],[phase_id]],tblEventLog[event_type],"phase.exited")=0),"missing:phase.exited",IF(OR(AND(tblPhases[[#This Row],[entered_at]]&lt;&gt;"",tblPhases[[#This Row],[entered_at]]&gt;=event_reconciliation_from_at),AND(tblPhases[[#This Row],[exited_at]]&lt;&gt;"",tblPhases[[#This Row],[exited_at]]&gt;=event_reconciliation_from_at)),"logged","before_window"))))</f>
        <v/>
      </c>
      <c r="N13" s="6" t="inlineStr">
        <is>
          <t>MLS-000009</t>
        </is>
      </c>
      <c r="O13" s="6" t="inlineStr">
        <is>
          <t>PRJ-000003</t>
        </is>
      </c>
      <c r="P13" s="6" t="inlineStr">
        <is>
          <t>PHS-000012</t>
        </is>
      </c>
      <c r="Q13" s="6" t="inlineStr">
        <is>
          <t>Build complete</t>
        </is>
      </c>
      <c r="R13" s="6" t="inlineStr">
        <is>
          <t>achieved</t>
        </is>
      </c>
      <c r="S13" s="6" t="inlineStr">
        <is>
          <t>2026-08-21</t>
        </is>
      </c>
      <c r="T13" s="6" t="inlineStr">
        <is>
          <t>2026-08-21</t>
        </is>
      </c>
      <c r="U13" s="7" t="b">
        <v>1</v>
      </c>
      <c r="V13" s="6" t="inlineStr">
        <is>
          <t>ROL-000004</t>
        </is>
      </c>
      <c r="W13" s="6" t="inlineStr">
        <is>
          <t>0.1.0</t>
        </is>
      </c>
      <c r="X13" s="14">
        <f>IF(tblMilestones[[#This Row],[milestone_id]]="","",IF(COUNTIF(tblProjects[project_id],tblMilestones[[#This Row],[project_id]])=0,"orphan_project",IF(COUNTIFS(tblPhases[phase_id],tblMilestones[[#This Row],[phase_id]],tblPhases[project_id],tblMilestones[[#This Row],[project_id]])=0,"orphan_phase","valid")))</f>
        <v/>
      </c>
      <c r="Y13" s="14">
        <f>IF(tblMilestones[[#This Row],[milestone_id]]="","",IF(AND(tblMilestones[[#This Row],[status]]="achieved",tblMilestones[[#This Row],[completed_date]]&amp;"T23:59:59Z"&gt;=event_reconciliation_from_at,COUNTIFS(tblEventLog[subject_id],tblMilestones[[#This Row],[milestone_id]],tblEventLog[event_type],"milestone.achieved")=0),"missing:milestone.achieved",IF(AND(tblMilestones[[#This Row],[status]]="missed",tblMilestones[[#This Row],[target_date]]&amp;"T23:59:59Z"&gt;=event_reconciliation_from_at,COUNTIFS(tblEventLog[subject_id],tblMilestones[[#This Row],[milestone_id]],tblEventLog[event_type],"milestone.missed")=0),"missing:milestone.missed",IF(OR(AND(tblMilestones[[#This Row],[status]]="achieved",tblMilestones[[#This Row],[completed_date]]&amp;"T23:59:59Z"&gt;=event_reconciliation_from_at),AND(tblMilestones[[#This Row],[status]]="missed",tblMilestones[[#This Row],[target_date]]&amp;"T23:59:59Z"&gt;=event_reconciliation_from_at)),"logged","not_required_or_before_window"))))</f>
        <v/>
      </c>
    </row>
    <row r="14">
      <c r="A14" s="6" t="inlineStr">
        <is>
          <t>PHS-000010</t>
        </is>
      </c>
      <c r="B14" s="6" t="inlineStr">
        <is>
          <t>PRJ-000003</t>
        </is>
      </c>
      <c r="C14" s="6" t="inlineStr">
        <is>
          <t>build</t>
        </is>
      </c>
      <c r="D14" s="6" t="inlineStr">
        <is>
          <t>completed</t>
        </is>
      </c>
      <c r="E14" s="6" t="inlineStr">
        <is>
          <t>2026-05-15T16:05:00Z</t>
        </is>
      </c>
      <c r="F14" s="6" t="inlineStr">
        <is>
          <t>2026-07-10T16:00:00Z</t>
        </is>
      </c>
      <c r="G14" s="6" t="inlineStr">
        <is>
          <t>ROL-000004</t>
        </is>
      </c>
      <c r="H14" s="6" t="inlineStr">
        <is>
          <t>build_gate</t>
        </is>
      </c>
      <c r="I14" s="6" t="inlineStr">
        <is>
          <t>0.1.0</t>
        </is>
      </c>
      <c r="J14" s="14">
        <f>IF(tblPhases[[#This Row],[phase_id]]="","",IF(COUNTIF(tblProjects[project_id],tblPhases[[#This Row],[project_id]])=0,"orphan_project","valid"))</f>
        <v/>
      </c>
      <c r="K14" s="14">
        <f>IF(tblPhases[[#This Row],[phase_id]]="","",IF(COUNTIFS(tblLookupEntries[lookup_type],"gate_id",tblLookupEntries[display_value],tblPhases[[#This Row],[lifecycle_phase_key]])=0,IF(tblPhases[[#This Row],[gate_id]]="","valid","unexpected_gate"),IF(COUNTIFS(tblLookupEntries[lookup_type],"gate_id",tblLookupEntries[key],tblPhases[[#This Row],[gate_id]],tblLookupEntries[display_value],tblPhases[[#This Row],[lifecycle_phase_key]])&gt;0,"valid","gate_mismatch")))</f>
        <v/>
      </c>
      <c r="L14" s="14">
        <f>IF(tblPhases[[#This Row],[phase_id]]="","",IF(AND(tblPhases[[#This Row],[entered_at]]&lt;&gt;"",tblPhases[[#This Row],[entered_at]]&gt;=event_reconciliation_from_at,COUNTIFS(tblEventLog[subject_id],tblPhases[[#This Row],[phase_id]],tblEventLog[event_type],"phase.entered")=0),"missing:phase.entered",IF(AND(tblPhases[[#This Row],[exited_at]]&lt;&gt;"",tblPhases[[#This Row],[exited_at]]&gt;=event_reconciliation_from_at,COUNTIFS(tblEventLog[subject_id],tblPhases[[#This Row],[phase_id]],tblEventLog[event_type],"phase.exited")=0),"missing:phase.exited",IF(OR(AND(tblPhases[[#This Row],[entered_at]]&lt;&gt;"",tblPhases[[#This Row],[entered_at]]&gt;=event_reconciliation_from_at),AND(tblPhases[[#This Row],[exited_at]]&lt;&gt;"",tblPhases[[#This Row],[exited_at]]&gt;=event_reconciliation_from_at)),"logged","before_window"))))</f>
        <v/>
      </c>
      <c r="N14" s="6" t="inlineStr">
        <is>
          <t>MLS-000010</t>
        </is>
      </c>
      <c r="O14" s="6" t="inlineStr">
        <is>
          <t>PRJ-000003</t>
        </is>
      </c>
      <c r="P14" s="6" t="inlineStr">
        <is>
          <t>PHS-000013</t>
        </is>
      </c>
      <c r="Q14" s="6" t="inlineStr">
        <is>
          <t>User acceptance signed off</t>
        </is>
      </c>
      <c r="R14" s="6" t="inlineStr">
        <is>
          <t>achieved</t>
        </is>
      </c>
      <c r="S14" s="6" t="inlineStr">
        <is>
          <t>2026-09-11</t>
        </is>
      </c>
      <c r="T14" s="6" t="inlineStr">
        <is>
          <t>2026-09-11</t>
        </is>
      </c>
      <c r="U14" s="7" t="b">
        <v>1</v>
      </c>
      <c r="V14" s="6" t="inlineStr">
        <is>
          <t>ROL-000001</t>
        </is>
      </c>
      <c r="W14" s="6" t="inlineStr">
        <is>
          <t>0.1.0</t>
        </is>
      </c>
      <c r="X14" s="14">
        <f>IF(tblMilestones[[#This Row],[milestone_id]]="","",IF(COUNTIF(tblProjects[project_id],tblMilestones[[#This Row],[project_id]])=0,"orphan_project",IF(COUNTIFS(tblPhases[phase_id],tblMilestones[[#This Row],[phase_id]],tblPhases[project_id],tblMilestones[[#This Row],[project_id]])=0,"orphan_phase","valid")))</f>
        <v/>
      </c>
      <c r="Y14" s="14">
        <f>IF(tblMilestones[[#This Row],[milestone_id]]="","",IF(AND(tblMilestones[[#This Row],[status]]="achieved",tblMilestones[[#This Row],[completed_date]]&amp;"T23:59:59Z"&gt;=event_reconciliation_from_at,COUNTIFS(tblEventLog[subject_id],tblMilestones[[#This Row],[milestone_id]],tblEventLog[event_type],"milestone.achieved")=0),"missing:milestone.achieved",IF(AND(tblMilestones[[#This Row],[status]]="missed",tblMilestones[[#This Row],[target_date]]&amp;"T23:59:59Z"&gt;=event_reconciliation_from_at,COUNTIFS(tblEventLog[subject_id],tblMilestones[[#This Row],[milestone_id]],tblEventLog[event_type],"milestone.missed")=0),"missing:milestone.missed",IF(OR(AND(tblMilestones[[#This Row],[status]]="achieved",tblMilestones[[#This Row],[completed_date]]&amp;"T23:59:59Z"&gt;=event_reconciliation_from_at),AND(tblMilestones[[#This Row],[status]]="missed",tblMilestones[[#This Row],[target_date]]&amp;"T23:59:59Z"&gt;=event_reconciliation_from_at)),"logged","not_required_or_before_window"))))</f>
        <v/>
      </c>
    </row>
    <row r="15">
      <c r="A15" s="6" t="inlineStr">
        <is>
          <t>PHS-000011</t>
        </is>
      </c>
      <c r="B15" s="6" t="inlineStr">
        <is>
          <t>PRJ-000003</t>
        </is>
      </c>
      <c r="C15" s="6" t="inlineStr">
        <is>
          <t>validate</t>
        </is>
      </c>
      <c r="D15" s="6" t="inlineStr">
        <is>
          <t>completed</t>
        </is>
      </c>
      <c r="E15" s="6" t="inlineStr">
        <is>
          <t>2026-07-10T16:05:00Z</t>
        </is>
      </c>
      <c r="F15" s="6" t="inlineStr">
        <is>
          <t>2026-07-31T16:00:00Z</t>
        </is>
      </c>
      <c r="G15" s="6" t="inlineStr">
        <is>
          <t>ROL-000001</t>
        </is>
      </c>
      <c r="H15" s="6" t="inlineStr">
        <is>
          <t>validate_gate</t>
        </is>
      </c>
      <c r="I15" s="6" t="inlineStr">
        <is>
          <t>0.1.0</t>
        </is>
      </c>
      <c r="J15" s="14">
        <f>IF(tblPhases[[#This Row],[phase_id]]="","",IF(COUNTIF(tblProjects[project_id],tblPhases[[#This Row],[project_id]])=0,"orphan_project","valid"))</f>
        <v/>
      </c>
      <c r="K15" s="14">
        <f>IF(tblPhases[[#This Row],[phase_id]]="","",IF(COUNTIFS(tblLookupEntries[lookup_type],"gate_id",tblLookupEntries[display_value],tblPhases[[#This Row],[lifecycle_phase_key]])=0,IF(tblPhases[[#This Row],[gate_id]]="","valid","unexpected_gate"),IF(COUNTIFS(tblLookupEntries[lookup_type],"gate_id",tblLookupEntries[key],tblPhases[[#This Row],[gate_id]],tblLookupEntries[display_value],tblPhases[[#This Row],[lifecycle_phase_key]])&gt;0,"valid","gate_mismatch")))</f>
        <v/>
      </c>
      <c r="L15" s="14">
        <f>IF(tblPhases[[#This Row],[phase_id]]="","",IF(AND(tblPhases[[#This Row],[entered_at]]&lt;&gt;"",tblPhases[[#This Row],[entered_at]]&gt;=event_reconciliation_from_at,COUNTIFS(tblEventLog[subject_id],tblPhases[[#This Row],[phase_id]],tblEventLog[event_type],"phase.entered")=0),"missing:phase.entered",IF(AND(tblPhases[[#This Row],[exited_at]]&lt;&gt;"",tblPhases[[#This Row],[exited_at]]&gt;=event_reconciliation_from_at,COUNTIFS(tblEventLog[subject_id],tblPhases[[#This Row],[phase_id]],tblEventLog[event_type],"phase.exited")=0),"missing:phase.exited",IF(OR(AND(tblPhases[[#This Row],[entered_at]]&lt;&gt;"",tblPhases[[#This Row],[entered_at]]&gt;=event_reconciliation_from_at),AND(tblPhases[[#This Row],[exited_at]]&lt;&gt;"",tblPhases[[#This Row],[exited_at]]&gt;=event_reconciliation_from_at)),"logged","before_window"))))</f>
        <v/>
      </c>
      <c r="N15" s="6" t="inlineStr">
        <is>
          <t>MLS-000011</t>
        </is>
      </c>
      <c r="O15" s="6" t="inlineStr">
        <is>
          <t>PRJ-000003</t>
        </is>
      </c>
      <c r="P15" s="6" t="inlineStr">
        <is>
          <t>PHS-000014</t>
        </is>
      </c>
      <c r="Q15" s="6" t="inlineStr">
        <is>
          <t>Training delivered</t>
        </is>
      </c>
      <c r="R15" s="6" t="inlineStr">
        <is>
          <t>achieved</t>
        </is>
      </c>
      <c r="S15" s="6" t="inlineStr">
        <is>
          <t>2026-09-26</t>
        </is>
      </c>
      <c r="T15" s="6" t="inlineStr">
        <is>
          <t>2026-09-29</t>
        </is>
      </c>
      <c r="U15" s="7" t="b">
        <v>1</v>
      </c>
      <c r="V15" s="6" t="inlineStr">
        <is>
          <t>ROL-000005</t>
        </is>
      </c>
      <c r="W15" s="6" t="inlineStr">
        <is>
          <t>0.1.0</t>
        </is>
      </c>
      <c r="X15" s="14">
        <f>IF(tblMilestones[[#This Row],[milestone_id]]="","",IF(COUNTIF(tblProjects[project_id],tblMilestones[[#This Row],[project_id]])=0,"orphan_project",IF(COUNTIFS(tblPhases[phase_id],tblMilestones[[#This Row],[phase_id]],tblPhases[project_id],tblMilestones[[#This Row],[project_id]])=0,"orphan_phase","valid")))</f>
        <v/>
      </c>
      <c r="Y15" s="14">
        <f>IF(tblMilestones[[#This Row],[milestone_id]]="","",IF(AND(tblMilestones[[#This Row],[status]]="achieved",tblMilestones[[#This Row],[completed_date]]&amp;"T23:59:59Z"&gt;=event_reconciliation_from_at,COUNTIFS(tblEventLog[subject_id],tblMilestones[[#This Row],[milestone_id]],tblEventLog[event_type],"milestone.achieved")=0),"missing:milestone.achieved",IF(AND(tblMilestones[[#This Row],[status]]="missed",tblMilestones[[#This Row],[target_date]]&amp;"T23:59:59Z"&gt;=event_reconciliation_from_at,COUNTIFS(tblEventLog[subject_id],tblMilestones[[#This Row],[milestone_id]],tblEventLog[event_type],"milestone.missed")=0),"missing:milestone.missed",IF(OR(AND(tblMilestones[[#This Row],[status]]="achieved",tblMilestones[[#This Row],[completed_date]]&amp;"T23:59:59Z"&gt;=event_reconciliation_from_at),AND(tblMilestones[[#This Row],[status]]="missed",tblMilestones[[#This Row],[target_date]]&amp;"T23:59:59Z"&gt;=event_reconciliation_from_at)),"logged","not_required_or_before_window"))))</f>
        <v/>
      </c>
    </row>
    <row r="16">
      <c r="A16" s="6" t="inlineStr">
        <is>
          <t>PHS-000012</t>
        </is>
      </c>
      <c r="B16" s="6" t="inlineStr">
        <is>
          <t>PRJ-000003</t>
        </is>
      </c>
      <c r="C16" s="6" t="inlineStr">
        <is>
          <t>build</t>
        </is>
      </c>
      <c r="D16" s="6" t="inlineStr">
        <is>
          <t>completed</t>
        </is>
      </c>
      <c r="E16" s="6" t="inlineStr">
        <is>
          <t>2026-07-31T16:05:00Z</t>
        </is>
      </c>
      <c r="F16" s="6" t="inlineStr">
        <is>
          <t>2026-08-21T16:00:00Z</t>
        </is>
      </c>
      <c r="G16" s="6" t="inlineStr">
        <is>
          <t>ROL-000004</t>
        </is>
      </c>
      <c r="H16" s="6" t="inlineStr">
        <is>
          <t>build_gate</t>
        </is>
      </c>
      <c r="I16" s="6" t="inlineStr">
        <is>
          <t>0.1.0</t>
        </is>
      </c>
      <c r="J16" s="14">
        <f>IF(tblPhases[[#This Row],[phase_id]]="","",IF(COUNTIF(tblProjects[project_id],tblPhases[[#This Row],[project_id]])=0,"orphan_project","valid"))</f>
        <v/>
      </c>
      <c r="K16" s="14">
        <f>IF(tblPhases[[#This Row],[phase_id]]="","",IF(COUNTIFS(tblLookupEntries[lookup_type],"gate_id",tblLookupEntries[display_value],tblPhases[[#This Row],[lifecycle_phase_key]])=0,IF(tblPhases[[#This Row],[gate_id]]="","valid","unexpected_gate"),IF(COUNTIFS(tblLookupEntries[lookup_type],"gate_id",tblLookupEntries[key],tblPhases[[#This Row],[gate_id]],tblLookupEntries[display_value],tblPhases[[#This Row],[lifecycle_phase_key]])&gt;0,"valid","gate_mismatch")))</f>
        <v/>
      </c>
      <c r="L16" s="14">
        <f>IF(tblPhases[[#This Row],[phase_id]]="","",IF(AND(tblPhases[[#This Row],[entered_at]]&lt;&gt;"",tblPhases[[#This Row],[entered_at]]&gt;=event_reconciliation_from_at,COUNTIFS(tblEventLog[subject_id],tblPhases[[#This Row],[phase_id]],tblEventLog[event_type],"phase.entered")=0),"missing:phase.entered",IF(AND(tblPhases[[#This Row],[exited_at]]&lt;&gt;"",tblPhases[[#This Row],[exited_at]]&gt;=event_reconciliation_from_at,COUNTIFS(tblEventLog[subject_id],tblPhases[[#This Row],[phase_id]],tblEventLog[event_type],"phase.exited")=0),"missing:phase.exited",IF(OR(AND(tblPhases[[#This Row],[entered_at]]&lt;&gt;"",tblPhases[[#This Row],[entered_at]]&gt;=event_reconciliation_from_at),AND(tblPhases[[#This Row],[exited_at]]&lt;&gt;"",tblPhases[[#This Row],[exited_at]]&gt;=event_reconciliation_from_at)),"logged","before_window"))))</f>
        <v/>
      </c>
      <c r="N16" s="6" t="inlineStr">
        <is>
          <t>MLS-000012</t>
        </is>
      </c>
      <c r="O16" s="6" t="inlineStr">
        <is>
          <t>PRJ-000003</t>
        </is>
      </c>
      <c r="P16" s="6" t="inlineStr">
        <is>
          <t>PHS-000015</t>
        </is>
      </c>
      <c r="Q16" s="6" t="inlineStr">
        <is>
          <t>Launch completed</t>
        </is>
      </c>
      <c r="R16" s="6" t="inlineStr">
        <is>
          <t>planned</t>
        </is>
      </c>
      <c r="S16" s="6" t="inlineStr">
        <is>
          <t>2026-10-19</t>
        </is>
      </c>
      <c r="T16" s="6" t="n"/>
      <c r="U16" s="7" t="b">
        <v>1</v>
      </c>
      <c r="V16" s="6" t="inlineStr">
        <is>
          <t>ROL-000001</t>
        </is>
      </c>
      <c r="W16" s="6" t="inlineStr">
        <is>
          <t>0.1.0</t>
        </is>
      </c>
      <c r="X16" s="14">
        <f>IF(tblMilestones[[#This Row],[milestone_id]]="","",IF(COUNTIF(tblProjects[project_id],tblMilestones[[#This Row],[project_id]])=0,"orphan_project",IF(COUNTIFS(tblPhases[phase_id],tblMilestones[[#This Row],[phase_id]],tblPhases[project_id],tblMilestones[[#This Row],[project_id]])=0,"orphan_phase","valid")))</f>
        <v/>
      </c>
      <c r="Y16" s="14">
        <f>IF(tblMilestones[[#This Row],[milestone_id]]="","",IF(AND(tblMilestones[[#This Row],[status]]="achieved",tblMilestones[[#This Row],[completed_date]]&amp;"T23:59:59Z"&gt;=event_reconciliation_from_at,COUNTIFS(tblEventLog[subject_id],tblMilestones[[#This Row],[milestone_id]],tblEventLog[event_type],"milestone.achieved")=0),"missing:milestone.achieved",IF(AND(tblMilestones[[#This Row],[status]]="missed",tblMilestones[[#This Row],[target_date]]&amp;"T23:59:59Z"&gt;=event_reconciliation_from_at,COUNTIFS(tblEventLog[subject_id],tblMilestones[[#This Row],[milestone_id]],tblEventLog[event_type],"milestone.missed")=0),"missing:milestone.missed",IF(OR(AND(tblMilestones[[#This Row],[status]]="achieved",tblMilestones[[#This Row],[completed_date]]&amp;"T23:59:59Z"&gt;=event_reconciliation_from_at),AND(tblMilestones[[#This Row],[status]]="missed",tblMilestones[[#This Row],[target_date]]&amp;"T23:59:59Z"&gt;=event_reconciliation_from_at)),"logged","not_required_or_before_window"))))</f>
        <v/>
      </c>
    </row>
    <row r="17">
      <c r="A17" s="6" t="inlineStr">
        <is>
          <t>PHS-000013</t>
        </is>
      </c>
      <c r="B17" s="6" t="inlineStr">
        <is>
          <t>PRJ-000003</t>
        </is>
      </c>
      <c r="C17" s="6" t="inlineStr">
        <is>
          <t>validate</t>
        </is>
      </c>
      <c r="D17" s="6" t="inlineStr">
        <is>
          <t>completed</t>
        </is>
      </c>
      <c r="E17" s="6" t="inlineStr">
        <is>
          <t>2026-08-21T16:05:00Z</t>
        </is>
      </c>
      <c r="F17" s="6" t="inlineStr">
        <is>
          <t>2026-09-11T14:00:00Z</t>
        </is>
      </c>
      <c r="G17" s="6" t="inlineStr">
        <is>
          <t>ROL-000001</t>
        </is>
      </c>
      <c r="H17" s="6" t="inlineStr">
        <is>
          <t>validate_gate</t>
        </is>
      </c>
      <c r="I17" s="6" t="inlineStr">
        <is>
          <t>0.1.0</t>
        </is>
      </c>
      <c r="J17" s="14">
        <f>IF(tblPhases[[#This Row],[phase_id]]="","",IF(COUNTIF(tblProjects[project_id],tblPhases[[#This Row],[project_id]])=0,"orphan_project","valid"))</f>
        <v/>
      </c>
      <c r="K17" s="14">
        <f>IF(tblPhases[[#This Row],[phase_id]]="","",IF(COUNTIFS(tblLookupEntries[lookup_type],"gate_id",tblLookupEntries[display_value],tblPhases[[#This Row],[lifecycle_phase_key]])=0,IF(tblPhases[[#This Row],[gate_id]]="","valid","unexpected_gate"),IF(COUNTIFS(tblLookupEntries[lookup_type],"gate_id",tblLookupEntries[key],tblPhases[[#This Row],[gate_id]],tblLookupEntries[display_value],tblPhases[[#This Row],[lifecycle_phase_key]])&gt;0,"valid","gate_mismatch")))</f>
        <v/>
      </c>
      <c r="L17" s="14">
        <f>IF(tblPhases[[#This Row],[phase_id]]="","",IF(AND(tblPhases[[#This Row],[entered_at]]&lt;&gt;"",tblPhases[[#This Row],[entered_at]]&gt;=event_reconciliation_from_at,COUNTIFS(tblEventLog[subject_id],tblPhases[[#This Row],[phase_id]],tblEventLog[event_type],"phase.entered")=0),"missing:phase.entered",IF(AND(tblPhases[[#This Row],[exited_at]]&lt;&gt;"",tblPhases[[#This Row],[exited_at]]&gt;=event_reconciliation_from_at,COUNTIFS(tblEventLog[subject_id],tblPhases[[#This Row],[phase_id]],tblEventLog[event_type],"phase.exited")=0),"missing:phase.exited",IF(OR(AND(tblPhases[[#This Row],[entered_at]]&lt;&gt;"",tblPhases[[#This Row],[entered_at]]&gt;=event_reconciliation_from_at),AND(tblPhases[[#This Row],[exited_at]]&lt;&gt;"",tblPhases[[#This Row],[exited_at]]&gt;=event_reconciliation_from_at)),"logged","before_window"))))</f>
        <v/>
      </c>
    </row>
    <row r="18">
      <c r="A18" s="6" t="inlineStr">
        <is>
          <t>PHS-000014</t>
        </is>
      </c>
      <c r="B18" s="6" t="inlineStr">
        <is>
          <t>PRJ-000003</t>
        </is>
      </c>
      <c r="C18" s="6" t="inlineStr">
        <is>
          <t>enable</t>
        </is>
      </c>
      <c r="D18" s="6" t="inlineStr">
        <is>
          <t>completed</t>
        </is>
      </c>
      <c r="E18" s="6" t="inlineStr">
        <is>
          <t>2026-09-11T14:05:00Z</t>
        </is>
      </c>
      <c r="F18" s="6" t="inlineStr">
        <is>
          <t>2026-09-30T15:00:00Z</t>
        </is>
      </c>
      <c r="G18" s="6" t="inlineStr">
        <is>
          <t>ROL-000005</t>
        </is>
      </c>
      <c r="H18" s="6" t="inlineStr">
        <is>
          <t>enable_gate</t>
        </is>
      </c>
      <c r="I18" s="6" t="inlineStr">
        <is>
          <t>0.1.0</t>
        </is>
      </c>
      <c r="J18" s="14">
        <f>IF(tblPhases[[#This Row],[phase_id]]="","",IF(COUNTIF(tblProjects[project_id],tblPhases[[#This Row],[project_id]])=0,"orphan_project","valid"))</f>
        <v/>
      </c>
      <c r="K18" s="14">
        <f>IF(tblPhases[[#This Row],[phase_id]]="","",IF(COUNTIFS(tblLookupEntries[lookup_type],"gate_id",tblLookupEntries[display_value],tblPhases[[#This Row],[lifecycle_phase_key]])=0,IF(tblPhases[[#This Row],[gate_id]]="","valid","unexpected_gate"),IF(COUNTIFS(tblLookupEntries[lookup_type],"gate_id",tblLookupEntries[key],tblPhases[[#This Row],[gate_id]],tblLookupEntries[display_value],tblPhases[[#This Row],[lifecycle_phase_key]])&gt;0,"valid","gate_mismatch")))</f>
        <v/>
      </c>
      <c r="L18" s="14">
        <f>IF(tblPhases[[#This Row],[phase_id]]="","",IF(AND(tblPhases[[#This Row],[entered_at]]&lt;&gt;"",tblPhases[[#This Row],[entered_at]]&gt;=event_reconciliation_from_at,COUNTIFS(tblEventLog[subject_id],tblPhases[[#This Row],[phase_id]],tblEventLog[event_type],"phase.entered")=0),"missing:phase.entered",IF(AND(tblPhases[[#This Row],[exited_at]]&lt;&gt;"",tblPhases[[#This Row],[exited_at]]&gt;=event_reconciliation_from_at,COUNTIFS(tblEventLog[subject_id],tblPhases[[#This Row],[phase_id]],tblEventLog[event_type],"phase.exited")=0),"missing:phase.exited",IF(OR(AND(tblPhases[[#This Row],[entered_at]]&lt;&gt;"",tblPhases[[#This Row],[entered_at]]&gt;=event_reconciliation_from_at),AND(tblPhases[[#This Row],[exited_at]]&lt;&gt;"",tblPhases[[#This Row],[exited_at]]&gt;=event_reconciliation_from_at)),"logged","before_window"))))</f>
        <v/>
      </c>
    </row>
    <row r="19">
      <c r="A19" s="6" t="inlineStr">
        <is>
          <t>PHS-000015</t>
        </is>
      </c>
      <c r="B19" s="6" t="inlineStr">
        <is>
          <t>PRJ-000003</t>
        </is>
      </c>
      <c r="C19" s="6" t="inlineStr">
        <is>
          <t>launch</t>
        </is>
      </c>
      <c r="D19" s="6" t="inlineStr">
        <is>
          <t>awaiting_gate</t>
        </is>
      </c>
      <c r="E19" s="6" t="inlineStr">
        <is>
          <t>2026-09-30T15:05:00Z</t>
        </is>
      </c>
      <c r="F19" s="6" t="n"/>
      <c r="G19" s="6" t="inlineStr">
        <is>
          <t>ROL-000001</t>
        </is>
      </c>
      <c r="H19" s="6" t="inlineStr">
        <is>
          <t>launch_gate</t>
        </is>
      </c>
      <c r="I19" s="6" t="inlineStr">
        <is>
          <t>0.1.0</t>
        </is>
      </c>
      <c r="J19" s="14">
        <f>IF(tblPhases[[#This Row],[phase_id]]="","",IF(COUNTIF(tblProjects[project_id],tblPhases[[#This Row],[project_id]])=0,"orphan_project","valid"))</f>
        <v/>
      </c>
      <c r="K19" s="14">
        <f>IF(tblPhases[[#This Row],[phase_id]]="","",IF(COUNTIFS(tblLookupEntries[lookup_type],"gate_id",tblLookupEntries[display_value],tblPhases[[#This Row],[lifecycle_phase_key]])=0,IF(tblPhases[[#This Row],[gate_id]]="","valid","unexpected_gate"),IF(COUNTIFS(tblLookupEntries[lookup_type],"gate_id",tblLookupEntries[key],tblPhases[[#This Row],[gate_id]],tblLookupEntries[display_value],tblPhases[[#This Row],[lifecycle_phase_key]])&gt;0,"valid","gate_mismatch")))</f>
        <v/>
      </c>
      <c r="L19" s="14">
        <f>IF(tblPhases[[#This Row],[phase_id]]="","",IF(AND(tblPhases[[#This Row],[entered_at]]&lt;&gt;"",tblPhases[[#This Row],[entered_at]]&gt;=event_reconciliation_from_at,COUNTIFS(tblEventLog[subject_id],tblPhases[[#This Row],[phase_id]],tblEventLog[event_type],"phase.entered")=0),"missing:phase.entered",IF(AND(tblPhases[[#This Row],[exited_at]]&lt;&gt;"",tblPhases[[#This Row],[exited_at]]&gt;=event_reconciliation_from_at,COUNTIFS(tblEventLog[subject_id],tblPhases[[#This Row],[phase_id]],tblEventLog[event_type],"phase.exited")=0),"missing:phase.exited",IF(OR(AND(tblPhases[[#This Row],[entered_at]]&lt;&gt;"",tblPhases[[#This Row],[entered_at]]&gt;=event_reconciliation_from_at),AND(tblPhases[[#This Row],[exited_at]]&lt;&gt;"",tblPhases[[#This Row],[exited_at]]&gt;=event_reconciliation_from_at)),"logged","before_window"))))</f>
        <v/>
      </c>
    </row>
  </sheetData>
  <conditionalFormatting sqref="J5:J1005">
    <cfRule type="expression" priority="1" dxfId="0">
      <formula>AND($J5&lt;&gt;"",$J5&lt;&gt;"valid",$J5&lt;&gt;"no_predecessor",$J5&lt;&gt;"event_only_record")</formula>
    </cfRule>
  </conditionalFormatting>
  <conditionalFormatting sqref="K5:K1005">
    <cfRule type="expression" priority="2" dxfId="0">
      <formula>AND($K5&lt;&gt;"",$K5&lt;&gt;"valid",$K5&lt;&gt;"no_predecessor",$K5&lt;&gt;"event_only_record")</formula>
    </cfRule>
  </conditionalFormatting>
  <conditionalFormatting sqref="L5:L1005">
    <cfRule type="expression" priority="3" dxfId="1">
      <formula>LEFT($L5,7)="missing"</formula>
    </cfRule>
  </conditionalFormatting>
  <conditionalFormatting sqref="X5:X1005">
    <cfRule type="expression" priority="4" dxfId="0">
      <formula>AND($X5&lt;&gt;"",$X5&lt;&gt;"valid",$X5&lt;&gt;"no_predecessor",$X5&lt;&gt;"event_only_record")</formula>
    </cfRule>
  </conditionalFormatting>
  <conditionalFormatting sqref="Y5:Y1005">
    <cfRule type="expression" priority="5" dxfId="1">
      <formula>LEFT($Y5,7)="missing"</formula>
    </cfRule>
  </conditionalFormatting>
  <conditionalFormatting sqref="AM5:AM1005">
    <cfRule type="expression" priority="6" dxfId="0">
      <formula>AND($AM5&lt;&gt;"",$AM5&lt;&gt;"valid",$AM5&lt;&gt;"no_predecessor",$AM5&lt;&gt;"event_only_record")</formula>
    </cfRule>
  </conditionalFormatting>
  <conditionalFormatting sqref="AO5:AO1005">
    <cfRule type="expression" priority="7" dxfId="0">
      <formula>AND($AO5&lt;&gt;"",$AO5&lt;&gt;"valid",$AO5&lt;&gt;"no_predecessor",$AO5&lt;&gt;"event_only_record")</formula>
    </cfRule>
  </conditionalFormatting>
  <conditionalFormatting sqref="AP5:AP1005">
    <cfRule type="expression" priority="8" dxfId="1">
      <formula>LEFT($AP5,7)="missing"</formula>
    </cfRule>
  </conditionalFormatting>
  <dataValidations count="8">
    <dataValidation sqref="C5:C1005" showDropDown="0" showInputMessage="0" showErrorMessage="1" allowBlank="1" errorTitle="Value not in R1 list" error="Choose a value from the R1 phase_key list (Lookups tab)." type="list" errorStyle="stop">
      <formula1>=lst_phase_key</formula1>
    </dataValidation>
    <dataValidation sqref="D5:D1005" showDropDown="0" showInputMessage="0" showErrorMessage="1" allowBlank="1" errorTitle="Value not in R1 list" error="Choose a value from the R1 phase_status list (Lookups tab)." type="list" errorStyle="stop">
      <formula1>=lst_phase_status</formula1>
    </dataValidation>
    <dataValidation sqref="G5:G1005" showDropDown="0" showInputMessage="0" showErrorMessage="1" allowBlank="1" errorTitle="Value not in R1 list" error="Choose a value from the R1 role_id list (Lookups tab)." type="list" errorStyle="warning">
      <formula1>=lst_role_id</formula1>
    </dataValidation>
    <dataValidation sqref="H5:H1005" showDropDown="0" showInputMessage="0" showErrorMessage="1" allowBlank="1" errorTitle="Value not in R1 list" error="Choose a value from the R1 gate_id list (Lookups tab)." type="list" errorStyle="stop">
      <formula1>=lst_gate_id</formula1>
    </dataValidation>
    <dataValidation sqref="R5:R1005" showDropDown="0" showInputMessage="0" showErrorMessage="1" allowBlank="1" errorTitle="Value not in R1 list" error="Choose a value from the R1 milestone_status list (Lookups tab)." type="list" errorStyle="stop">
      <formula1>=lst_milestone_status</formula1>
    </dataValidation>
    <dataValidation sqref="V5:V1005" showDropDown="0" showInputMessage="0" showErrorMessage="1" allowBlank="1" errorTitle="Value not in R1 list" error="Choose a value from the R1 role_id list (Lookups tab)." type="list" errorStyle="warning">
      <formula1>=lst_role_id</formula1>
    </dataValidation>
    <dataValidation sqref="AB5:AB1005" showDropDown="0" showInputMessage="0" showErrorMessage="1" allowBlank="1" errorTitle="Value not in R1 list" error="Choose a value from the R1 gate_id list (Lookups tab)." type="list" errorStyle="stop">
      <formula1>=lst_gate_id</formula1>
    </dataValidation>
    <dataValidation sqref="AE5:AE1005" showDropDown="0" showInputMessage="0" showErrorMessage="1" allowBlank="1" errorTitle="Value not in R1 list" error="Choose a value from the R1 gate_outcome list (Lookups tab)." type="list" errorStyle="stop">
      <formula1>=lst_gate_outcome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4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6" customWidth="1" min="5" max="5"/>
    <col width="14" customWidth="1" min="6" max="6"/>
    <col width="14" customWidth="1" min="7" max="7"/>
    <col width="14" customWidth="1" min="8" max="8"/>
    <col width="14" customWidth="1" min="9" max="9"/>
    <col width="24" customWidth="1" min="10" max="10"/>
    <col width="14" customWidth="1" min="11" max="11"/>
    <col width="14" customWidth="1" min="12" max="12"/>
    <col width="20" customWidth="1" min="13" max="13"/>
    <col width="14" customWidth="1" min="14" max="14"/>
    <col width="14" customWidth="1" min="15" max="15"/>
    <col width="18" customWidth="1" min="16" max="16"/>
    <col width="16" customWidth="1" min="17" max="17"/>
    <col width="16" customWidth="1" min="18" max="18"/>
    <col width="26" customWidth="1" min="19" max="19"/>
  </cols>
  <sheetData>
    <row r="1">
      <c r="A1" s="1" t="inlineStr">
        <is>
          <t>Tasks</t>
        </is>
      </c>
    </row>
    <row r="2">
      <c r="A2" s="9" t="inlineStr">
        <is>
          <t>due_state uses calculation_as_of_at on the README tab, never the clock.</t>
        </is>
      </c>
    </row>
    <row r="3">
      <c r="A3" s="3" t="inlineStr">
        <is>
          <t>Tasks (R1 task records)</t>
        </is>
      </c>
    </row>
    <row r="4">
      <c r="A4" s="5" t="inlineStr">
        <is>
          <t>task_id</t>
        </is>
      </c>
      <c r="B4" s="5" t="inlineStr">
        <is>
          <t>project_id</t>
        </is>
      </c>
      <c r="C4" s="5" t="inlineStr">
        <is>
          <t>phase_id</t>
        </is>
      </c>
      <c r="D4" s="5" t="inlineStr">
        <is>
          <t>milestone_id</t>
        </is>
      </c>
      <c r="E4" s="5" t="inlineStr">
        <is>
          <t>name</t>
        </is>
      </c>
      <c r="F4" s="5" t="inlineStr">
        <is>
          <t>status</t>
        </is>
      </c>
      <c r="G4" s="5" t="inlineStr">
        <is>
          <t>owner_role_id</t>
        </is>
      </c>
      <c r="H4" s="5" t="inlineStr">
        <is>
          <t>planned_hours</t>
        </is>
      </c>
      <c r="I4" s="5" t="inlineStr">
        <is>
          <t>actual_hours</t>
        </is>
      </c>
      <c r="J4" s="5" t="inlineStr">
        <is>
          <t>predecessor_task_ids</t>
        </is>
      </c>
      <c r="K4" s="5" t="inlineStr">
        <is>
          <t>planned_start_date</t>
        </is>
      </c>
      <c r="L4" s="5" t="inlineStr">
        <is>
          <t>planned_due_date</t>
        </is>
      </c>
      <c r="M4" s="5" t="inlineStr">
        <is>
          <t>completed_at</t>
        </is>
      </c>
      <c r="N4" s="5" t="inlineStr">
        <is>
          <t>critical_flag</t>
        </is>
      </c>
      <c r="O4" s="5" t="inlineStr">
        <is>
          <t>schema_version</t>
        </is>
      </c>
      <c r="P4" s="13" t="inlineStr">
        <is>
          <t>due_state</t>
        </is>
      </c>
      <c r="Q4" s="13" t="inlineStr">
        <is>
          <t>predecessor_reference_valid</t>
        </is>
      </c>
      <c r="R4" s="13" t="inlineStr">
        <is>
          <t>reference_check</t>
        </is>
      </c>
      <c r="S4" s="13" t="inlineStr">
        <is>
          <t>event_evidence</t>
        </is>
      </c>
    </row>
    <row r="5">
      <c r="A5" s="6" t="inlineStr">
        <is>
          <t>TSK-000001</t>
        </is>
      </c>
      <c r="B5" s="6" t="inlineStr">
        <is>
          <t>PRJ-000001</t>
        </is>
      </c>
      <c r="C5" s="6" t="inlineStr">
        <is>
          <t>PHS-000001</t>
        </is>
      </c>
      <c r="D5" s="6" t="inlineStr">
        <is>
          <t>MLS-000001</t>
        </is>
      </c>
      <c r="E5" s="6" t="inlineStr">
        <is>
          <t>Confirm scope and success criteria</t>
        </is>
      </c>
      <c r="F5" s="6" t="inlineStr">
        <is>
          <t>completed</t>
        </is>
      </c>
      <c r="G5" s="6" t="inlineStr">
        <is>
          <t>ROL-000001</t>
        </is>
      </c>
      <c r="H5" s="7" t="n">
        <v>3</v>
      </c>
      <c r="I5" s="7" t="n">
        <v>2.5</v>
      </c>
      <c r="J5" s="6" t="n"/>
      <c r="K5" s="6" t="inlineStr">
        <is>
          <t>2026-09-08</t>
        </is>
      </c>
      <c r="L5" s="6" t="inlineStr">
        <is>
          <t>2026-09-10</t>
        </is>
      </c>
      <c r="M5" s="6" t="inlineStr">
        <is>
          <t>2026-09-10T17:00:00Z</t>
        </is>
      </c>
      <c r="N5" s="7" t="b">
        <v>1</v>
      </c>
      <c r="O5" s="6" t="inlineStr">
        <is>
          <t>0.1.0</t>
        </is>
      </c>
      <c r="P5" s="14">
        <f>IF(tblTasks[[#This Row],[task_id]]="","",IF(tblTasks[[#This Row],[planned_due_date]]="","no_due_date",IF(tblTasks[[#This Row],[status]]="cancelled","cancelled",IF(tblTasks[[#This Row],[status]]="completed",IF(LEFT(tblTasks[[#This Row],[completed_at]],10)&lt;=tblTasks[[#This Row],[planned_due_date]],"completed_on_time","completed_late"),IF(tblTasks[[#This Row],[status]]="blocked","blocked",IF(tblTasks[[#This Row],[planned_due_date]]&lt;LEFT(calculation_as_of_at,10),"overdue","open_not_due"))))))</f>
        <v/>
      </c>
      <c r="Q5" s="14">
        <f>IF(tblTasks[[#This Row],[task_id]]="","",IF(tblTasks[[#This Row],[predecessor_task_ids]]="","no_predecessor",IF(SUMPRODUCT((tblTasks[task_id]&lt;&gt;"")*ISNUMBER(SEARCH(tblTasks[task_id],tblTasks[[#This Row],[predecessor_task_ids]])))=LEN(tblTasks[[#This Row],[predecessor_task_ids]])-LEN(SUBSTITUTE(tblTasks[[#This Row],[predecessor_task_ids]],";",""))+1,"valid","invalid")))</f>
        <v/>
      </c>
      <c r="R5" s="14">
        <f>IF(tblTasks[[#This Row],[task_id]]="","",IF(COUNTIF(tblProjects[project_id],tblTasks[[#This Row],[project_id]])=0,"orphan_project",IF(COUNTIFS(tblPhases[phase_id],tblTasks[[#This Row],[phase_id]],tblPhases[project_id],tblTasks[[#This Row],[project_id]])=0,"orphan_phase",IF(AND(tblTasks[[#This Row],[milestone_id]]&lt;&gt;"",COUNTIFS(tblMilestones[milestone_id],tblTasks[[#This Row],[milestone_id]],tblMilestones[project_id],tblTasks[[#This Row],[project_id]])=0),"orphan_milestone","valid"))))</f>
        <v/>
      </c>
      <c r="S5" s="14">
        <f>IF(tblTasks[[#This Row],[task_id]]="","",IF(tblTasks[[#This Row],[status]]="blocked",IF(COUNTIFS(tblEventLog[subject_id],tblTasks[[#This Row],[task_id]],tblEventLog[event_type],"task.status_changed")=0,"missing:task.status_changed","logged"),IF(AND(tblTasks[[#This Row],[status]]="completed",tblTasks[[#This Row],[completed_at]]&gt;=event_reconciliation_from_at,COUNTIFS(tblEventLog[subject_id],tblTasks[[#This Row],[task_id]],tblEventLog[event_type],"task.status_changed")=0),"missing:task.status_changed",IF(OR(AND(tblTasks[[#This Row],[status]]="completed",tblTasks[[#This Row],[completed_at]]&gt;=event_reconciliation_from_at)),"logged","not_required_or_before_window"))))</f>
        <v/>
      </c>
    </row>
    <row r="6">
      <c r="A6" s="6" t="inlineStr">
        <is>
          <t>TSK-000002</t>
        </is>
      </c>
      <c r="B6" s="6" t="inlineStr">
        <is>
          <t>PRJ-000001</t>
        </is>
      </c>
      <c r="C6" s="6" t="inlineStr">
        <is>
          <t>PHS-000001</t>
        </is>
      </c>
      <c r="D6" s="6" t="inlineStr">
        <is>
          <t>MLS-000001</t>
        </is>
      </c>
      <c r="E6" s="6" t="inlineStr">
        <is>
          <t>Run kickoff session</t>
        </is>
      </c>
      <c r="F6" s="6" t="inlineStr">
        <is>
          <t>completed</t>
        </is>
      </c>
      <c r="G6" s="6" t="inlineStr">
        <is>
          <t>ROL-000001</t>
        </is>
      </c>
      <c r="H6" s="7" t="n">
        <v>2</v>
      </c>
      <c r="I6" s="7" t="n">
        <v>2</v>
      </c>
      <c r="J6" s="6" t="inlineStr">
        <is>
          <t>TSK-000001</t>
        </is>
      </c>
      <c r="K6" s="6" t="inlineStr">
        <is>
          <t>2026-09-10</t>
        </is>
      </c>
      <c r="L6" s="6" t="inlineStr">
        <is>
          <t>2026-09-11</t>
        </is>
      </c>
      <c r="M6" s="6" t="inlineStr">
        <is>
          <t>2026-09-10T20:00:00Z</t>
        </is>
      </c>
      <c r="N6" s="7" t="b">
        <v>1</v>
      </c>
      <c r="O6" s="6" t="inlineStr">
        <is>
          <t>0.1.0</t>
        </is>
      </c>
      <c r="P6" s="14">
        <f>IF(tblTasks[[#This Row],[task_id]]="","",IF(tblTasks[[#This Row],[planned_due_date]]="","no_due_date",IF(tblTasks[[#This Row],[status]]="cancelled","cancelled",IF(tblTasks[[#This Row],[status]]="completed",IF(LEFT(tblTasks[[#This Row],[completed_at]],10)&lt;=tblTasks[[#This Row],[planned_due_date]],"completed_on_time","completed_late"),IF(tblTasks[[#This Row],[status]]="blocked","blocked",IF(tblTasks[[#This Row],[planned_due_date]]&lt;LEFT(calculation_as_of_at,10),"overdue","open_not_due"))))))</f>
        <v/>
      </c>
      <c r="Q6" s="14">
        <f>IF(tblTasks[[#This Row],[task_id]]="","",IF(tblTasks[[#This Row],[predecessor_task_ids]]="","no_predecessor",IF(SUMPRODUCT((tblTasks[task_id]&lt;&gt;"")*ISNUMBER(SEARCH(tblTasks[task_id],tblTasks[[#This Row],[predecessor_task_ids]])))=LEN(tblTasks[[#This Row],[predecessor_task_ids]])-LEN(SUBSTITUTE(tblTasks[[#This Row],[predecessor_task_ids]],";",""))+1,"valid","invalid")))</f>
        <v/>
      </c>
      <c r="R6" s="14">
        <f>IF(tblTasks[[#This Row],[task_id]]="","",IF(COUNTIF(tblProjects[project_id],tblTasks[[#This Row],[project_id]])=0,"orphan_project",IF(COUNTIFS(tblPhases[phase_id],tblTasks[[#This Row],[phase_id]],tblPhases[project_id],tblTasks[[#This Row],[project_id]])=0,"orphan_phase",IF(AND(tblTasks[[#This Row],[milestone_id]]&lt;&gt;"",COUNTIFS(tblMilestones[milestone_id],tblTasks[[#This Row],[milestone_id]],tblMilestones[project_id],tblTasks[[#This Row],[project_id]])=0),"orphan_milestone","valid"))))</f>
        <v/>
      </c>
      <c r="S6" s="14">
        <f>IF(tblTasks[[#This Row],[task_id]]="","",IF(tblTasks[[#This Row],[status]]="blocked",IF(COUNTIFS(tblEventLog[subject_id],tblTasks[[#This Row],[task_id]],tblEventLog[event_type],"task.status_changed")=0,"missing:task.status_changed","logged"),IF(AND(tblTasks[[#This Row],[status]]="completed",tblTasks[[#This Row],[completed_at]]&gt;=event_reconciliation_from_at,COUNTIFS(tblEventLog[subject_id],tblTasks[[#This Row],[task_id]],tblEventLog[event_type],"task.status_changed")=0),"missing:task.status_changed",IF(OR(AND(tblTasks[[#This Row],[status]]="completed",tblTasks[[#This Row],[completed_at]]&gt;=event_reconciliation_from_at)),"logged","not_required_or_before_window"))))</f>
        <v/>
      </c>
    </row>
    <row r="7">
      <c r="A7" s="6" t="inlineStr">
        <is>
          <t>TSK-000003</t>
        </is>
      </c>
      <c r="B7" s="6" t="inlineStr">
        <is>
          <t>PRJ-000001</t>
        </is>
      </c>
      <c r="C7" s="6" t="inlineStr">
        <is>
          <t>PHS-000002</t>
        </is>
      </c>
      <c r="D7" s="6" t="inlineStr">
        <is>
          <t>MLS-000002</t>
        </is>
      </c>
      <c r="E7" s="6" t="inlineStr">
        <is>
          <t>Collect current-state inventory</t>
        </is>
      </c>
      <c r="F7" s="6" t="inlineStr">
        <is>
          <t>completed</t>
        </is>
      </c>
      <c r="G7" s="6" t="inlineStr">
        <is>
          <t>ROL-000001</t>
        </is>
      </c>
      <c r="H7" s="7" t="n">
        <v>6</v>
      </c>
      <c r="I7" s="7" t="n">
        <v>7</v>
      </c>
      <c r="J7" s="6" t="inlineStr">
        <is>
          <t>TSK-000002</t>
        </is>
      </c>
      <c r="K7" s="6" t="inlineStr">
        <is>
          <t>2026-09-15</t>
        </is>
      </c>
      <c r="L7" s="6" t="inlineStr">
        <is>
          <t>2026-09-25</t>
        </is>
      </c>
      <c r="M7" s="6" t="inlineStr">
        <is>
          <t>2026-09-25T18:00:00Z</t>
        </is>
      </c>
      <c r="N7" s="7" t="b">
        <v>1</v>
      </c>
      <c r="O7" s="6" t="inlineStr">
        <is>
          <t>0.1.0</t>
        </is>
      </c>
      <c r="P7" s="14">
        <f>IF(tblTasks[[#This Row],[task_id]]="","",IF(tblTasks[[#This Row],[planned_due_date]]="","no_due_date",IF(tblTasks[[#This Row],[status]]="cancelled","cancelled",IF(tblTasks[[#This Row],[status]]="completed",IF(LEFT(tblTasks[[#This Row],[completed_at]],10)&lt;=tblTasks[[#This Row],[planned_due_date]],"completed_on_time","completed_late"),IF(tblTasks[[#This Row],[status]]="blocked","blocked",IF(tblTasks[[#This Row],[planned_due_date]]&lt;LEFT(calculation_as_of_at,10),"overdue","open_not_due"))))))</f>
        <v/>
      </c>
      <c r="Q7" s="14">
        <f>IF(tblTasks[[#This Row],[task_id]]="","",IF(tblTasks[[#This Row],[predecessor_task_ids]]="","no_predecessor",IF(SUMPRODUCT((tblTasks[task_id]&lt;&gt;"")*ISNUMBER(SEARCH(tblTasks[task_id],tblTasks[[#This Row],[predecessor_task_ids]])))=LEN(tblTasks[[#This Row],[predecessor_task_ids]])-LEN(SUBSTITUTE(tblTasks[[#This Row],[predecessor_task_ids]],";",""))+1,"valid","invalid")))</f>
        <v/>
      </c>
      <c r="R7" s="14">
        <f>IF(tblTasks[[#This Row],[task_id]]="","",IF(COUNTIF(tblProjects[project_id],tblTasks[[#This Row],[project_id]])=0,"orphan_project",IF(COUNTIFS(tblPhases[phase_id],tblTasks[[#This Row],[phase_id]],tblPhases[project_id],tblTasks[[#This Row],[project_id]])=0,"orphan_phase",IF(AND(tblTasks[[#This Row],[milestone_id]]&lt;&gt;"",COUNTIFS(tblMilestones[milestone_id],tblTasks[[#This Row],[milestone_id]],tblMilestones[project_id],tblTasks[[#This Row],[project_id]])=0),"orphan_milestone","valid"))))</f>
        <v/>
      </c>
      <c r="S7" s="14">
        <f>IF(tblTasks[[#This Row],[task_id]]="","",IF(tblTasks[[#This Row],[status]]="blocked",IF(COUNTIFS(tblEventLog[subject_id],tblTasks[[#This Row],[task_id]],tblEventLog[event_type],"task.status_changed")=0,"missing:task.status_changed","logged"),IF(AND(tblTasks[[#This Row],[status]]="completed",tblTasks[[#This Row],[completed_at]]&gt;=event_reconciliation_from_at,COUNTIFS(tblEventLog[subject_id],tblTasks[[#This Row],[task_id]],tblEventLog[event_type],"task.status_changed")=0),"missing:task.status_changed",IF(OR(AND(tblTasks[[#This Row],[status]]="completed",tblTasks[[#This Row],[completed_at]]&gt;=event_reconciliation_from_at)),"logged","not_required_or_before_window"))))</f>
        <v/>
      </c>
    </row>
    <row r="8">
      <c r="A8" s="6" t="inlineStr">
        <is>
          <t>TSK-000004</t>
        </is>
      </c>
      <c r="B8" s="6" t="inlineStr">
        <is>
          <t>PRJ-000001</t>
        </is>
      </c>
      <c r="C8" s="6" t="inlineStr">
        <is>
          <t>PHS-000002</t>
        </is>
      </c>
      <c r="D8" s="6" t="inlineStr">
        <is>
          <t>MLS-000002</t>
        </is>
      </c>
      <c r="E8" s="6" t="inlineStr">
        <is>
          <t>Map current process steps</t>
        </is>
      </c>
      <c r="F8" s="6" t="inlineStr">
        <is>
          <t>in_progress</t>
        </is>
      </c>
      <c r="G8" s="6" t="inlineStr">
        <is>
          <t>ROL-000001</t>
        </is>
      </c>
      <c r="H8" s="7" t="n">
        <v>8</v>
      </c>
      <c r="I8" s="7" t="n">
        <v>5</v>
      </c>
      <c r="J8" s="6" t="inlineStr">
        <is>
          <t>TSK-000003</t>
        </is>
      </c>
      <c r="K8" s="6" t="inlineStr">
        <is>
          <t>2026-09-28</t>
        </is>
      </c>
      <c r="L8" s="6" t="inlineStr">
        <is>
          <t>2026-10-07</t>
        </is>
      </c>
      <c r="M8" s="6" t="n"/>
      <c r="N8" s="7" t="b">
        <v>1</v>
      </c>
      <c r="O8" s="6" t="inlineStr">
        <is>
          <t>0.1.0</t>
        </is>
      </c>
      <c r="P8" s="14">
        <f>IF(tblTasks[[#This Row],[task_id]]="","",IF(tblTasks[[#This Row],[planned_due_date]]="","no_due_date",IF(tblTasks[[#This Row],[status]]="cancelled","cancelled",IF(tblTasks[[#This Row],[status]]="completed",IF(LEFT(tblTasks[[#This Row],[completed_at]],10)&lt;=tblTasks[[#This Row],[planned_due_date]],"completed_on_time","completed_late"),IF(tblTasks[[#This Row],[status]]="blocked","blocked",IF(tblTasks[[#This Row],[planned_due_date]]&lt;LEFT(calculation_as_of_at,10),"overdue","open_not_due"))))))</f>
        <v/>
      </c>
      <c r="Q8" s="14">
        <f>IF(tblTasks[[#This Row],[task_id]]="","",IF(tblTasks[[#This Row],[predecessor_task_ids]]="","no_predecessor",IF(SUMPRODUCT((tblTasks[task_id]&lt;&gt;"")*ISNUMBER(SEARCH(tblTasks[task_id],tblTasks[[#This Row],[predecessor_task_ids]])))=LEN(tblTasks[[#This Row],[predecessor_task_ids]])-LEN(SUBSTITUTE(tblTasks[[#This Row],[predecessor_task_ids]],";",""))+1,"valid","invalid")))</f>
        <v/>
      </c>
      <c r="R8" s="14">
        <f>IF(tblTasks[[#This Row],[task_id]]="","",IF(COUNTIF(tblProjects[project_id],tblTasks[[#This Row],[project_id]])=0,"orphan_project",IF(COUNTIFS(tblPhases[phase_id],tblTasks[[#This Row],[phase_id]],tblPhases[project_id],tblTasks[[#This Row],[project_id]])=0,"orphan_phase",IF(AND(tblTasks[[#This Row],[milestone_id]]&lt;&gt;"",COUNTIFS(tblMilestones[milestone_id],tblTasks[[#This Row],[milestone_id]],tblMilestones[project_id],tblTasks[[#This Row],[project_id]])=0),"orphan_milestone","valid"))))</f>
        <v/>
      </c>
      <c r="S8" s="14">
        <f>IF(tblTasks[[#This Row],[task_id]]="","",IF(tblTasks[[#This Row],[status]]="blocked",IF(COUNTIFS(tblEventLog[subject_id],tblTasks[[#This Row],[task_id]],tblEventLog[event_type],"task.status_changed")=0,"missing:task.status_changed","logged"),IF(AND(tblTasks[[#This Row],[status]]="completed",tblTasks[[#This Row],[completed_at]]&gt;=event_reconciliation_from_at,COUNTIFS(tblEventLog[subject_id],tblTasks[[#This Row],[task_id]],tblEventLog[event_type],"task.status_changed")=0),"missing:task.status_changed",IF(OR(AND(tblTasks[[#This Row],[status]]="completed",tblTasks[[#This Row],[completed_at]]&gt;=event_reconciliation_from_at)),"logged","not_required_or_before_window"))))</f>
        <v/>
      </c>
    </row>
    <row r="9">
      <c r="A9" s="6" t="inlineStr">
        <is>
          <t>TSK-000005</t>
        </is>
      </c>
      <c r="B9" s="6" t="inlineStr">
        <is>
          <t>PRJ-000001</t>
        </is>
      </c>
      <c r="C9" s="6" t="inlineStr">
        <is>
          <t>PHS-000002</t>
        </is>
      </c>
      <c r="D9" s="6" t="inlineStr">
        <is>
          <t>MLS-000002</t>
        </is>
      </c>
      <c r="E9" s="6" t="inlineStr">
        <is>
          <t>Document data sources</t>
        </is>
      </c>
      <c r="F9" s="6" t="inlineStr">
        <is>
          <t>not_started</t>
        </is>
      </c>
      <c r="G9" s="6" t="inlineStr">
        <is>
          <t>ROL-000004</t>
        </is>
      </c>
      <c r="H9" s="7" t="n">
        <v>4</v>
      </c>
      <c r="I9" s="7" t="n"/>
      <c r="J9" s="6" t="inlineStr">
        <is>
          <t>TSK-000003</t>
        </is>
      </c>
      <c r="K9" s="6" t="inlineStr">
        <is>
          <t>2026-10-01</t>
        </is>
      </c>
      <c r="L9" s="6" t="inlineStr">
        <is>
          <t>2026-10-08</t>
        </is>
      </c>
      <c r="M9" s="6" t="n"/>
      <c r="N9" s="7" t="b">
        <v>0</v>
      </c>
      <c r="O9" s="6" t="inlineStr">
        <is>
          <t>0.1.0</t>
        </is>
      </c>
      <c r="P9" s="14">
        <f>IF(tblTasks[[#This Row],[task_id]]="","",IF(tblTasks[[#This Row],[planned_due_date]]="","no_due_date",IF(tblTasks[[#This Row],[status]]="cancelled","cancelled",IF(tblTasks[[#This Row],[status]]="completed",IF(LEFT(tblTasks[[#This Row],[completed_at]],10)&lt;=tblTasks[[#This Row],[planned_due_date]],"completed_on_time","completed_late"),IF(tblTasks[[#This Row],[status]]="blocked","blocked",IF(tblTasks[[#This Row],[planned_due_date]]&lt;LEFT(calculation_as_of_at,10),"overdue","open_not_due"))))))</f>
        <v/>
      </c>
      <c r="Q9" s="14">
        <f>IF(tblTasks[[#This Row],[task_id]]="","",IF(tblTasks[[#This Row],[predecessor_task_ids]]="","no_predecessor",IF(SUMPRODUCT((tblTasks[task_id]&lt;&gt;"")*ISNUMBER(SEARCH(tblTasks[task_id],tblTasks[[#This Row],[predecessor_task_ids]])))=LEN(tblTasks[[#This Row],[predecessor_task_ids]])-LEN(SUBSTITUTE(tblTasks[[#This Row],[predecessor_task_ids]],";",""))+1,"valid","invalid")))</f>
        <v/>
      </c>
      <c r="R9" s="14">
        <f>IF(tblTasks[[#This Row],[task_id]]="","",IF(COUNTIF(tblProjects[project_id],tblTasks[[#This Row],[project_id]])=0,"orphan_project",IF(COUNTIFS(tblPhases[phase_id],tblTasks[[#This Row],[phase_id]],tblPhases[project_id],tblTasks[[#This Row],[project_id]])=0,"orphan_phase",IF(AND(tblTasks[[#This Row],[milestone_id]]&lt;&gt;"",COUNTIFS(tblMilestones[milestone_id],tblTasks[[#This Row],[milestone_id]],tblMilestones[project_id],tblTasks[[#This Row],[project_id]])=0),"orphan_milestone","valid"))))</f>
        <v/>
      </c>
      <c r="S9" s="14">
        <f>IF(tblTasks[[#This Row],[task_id]]="","",IF(tblTasks[[#This Row],[status]]="blocked",IF(COUNTIFS(tblEventLog[subject_id],tblTasks[[#This Row],[task_id]],tblEventLog[event_type],"task.status_changed")=0,"missing:task.status_changed","logged"),IF(AND(tblTasks[[#This Row],[status]]="completed",tblTasks[[#This Row],[completed_at]]&gt;=event_reconciliation_from_at,COUNTIFS(tblEventLog[subject_id],tblTasks[[#This Row],[task_id]],tblEventLog[event_type],"task.status_changed")=0),"missing:task.status_changed",IF(OR(AND(tblTasks[[#This Row],[status]]="completed",tblTasks[[#This Row],[completed_at]]&gt;=event_reconciliation_from_at)),"logged","not_required_or_before_window"))))</f>
        <v/>
      </c>
    </row>
    <row r="10">
      <c r="A10" s="6" t="inlineStr">
        <is>
          <t>TSK-000006</t>
        </is>
      </c>
      <c r="B10" s="6" t="inlineStr">
        <is>
          <t>PRJ-000001</t>
        </is>
      </c>
      <c r="C10" s="6" t="inlineStr">
        <is>
          <t>PHS-000002</t>
        </is>
      </c>
      <c r="D10" s="6" t="inlineStr">
        <is>
          <t>MLS-000002</t>
        </is>
      </c>
      <c r="E10" s="6" t="inlineStr">
        <is>
          <t>Draft discovery summary</t>
        </is>
      </c>
      <c r="F10" s="6" t="inlineStr">
        <is>
          <t>not_started</t>
        </is>
      </c>
      <c r="G10" s="6" t="inlineStr">
        <is>
          <t>ROL-000001</t>
        </is>
      </c>
      <c r="H10" s="7" t="n">
        <v>3</v>
      </c>
      <c r="I10" s="7" t="n"/>
      <c r="J10" s="6" t="inlineStr">
        <is>
          <t>TSK-000004;TSK-000005</t>
        </is>
      </c>
      <c r="K10" s="6" t="inlineStr">
        <is>
          <t>2026-10-07</t>
        </is>
      </c>
      <c r="L10" s="6" t="inlineStr">
        <is>
          <t>2026-10-09</t>
        </is>
      </c>
      <c r="M10" s="6" t="n"/>
      <c r="N10" s="7" t="b">
        <v>1</v>
      </c>
      <c r="O10" s="6" t="inlineStr">
        <is>
          <t>0.1.0</t>
        </is>
      </c>
      <c r="P10" s="14">
        <f>IF(tblTasks[[#This Row],[task_id]]="","",IF(tblTasks[[#This Row],[planned_due_date]]="","no_due_date",IF(tblTasks[[#This Row],[status]]="cancelled","cancelled",IF(tblTasks[[#This Row],[status]]="completed",IF(LEFT(tblTasks[[#This Row],[completed_at]],10)&lt;=tblTasks[[#This Row],[planned_due_date]],"completed_on_time","completed_late"),IF(tblTasks[[#This Row],[status]]="blocked","blocked",IF(tblTasks[[#This Row],[planned_due_date]]&lt;LEFT(calculation_as_of_at,10),"overdue","open_not_due"))))))</f>
        <v/>
      </c>
      <c r="Q10" s="14">
        <f>IF(tblTasks[[#This Row],[task_id]]="","",IF(tblTasks[[#This Row],[predecessor_task_ids]]="","no_predecessor",IF(SUMPRODUCT((tblTasks[task_id]&lt;&gt;"")*ISNUMBER(SEARCH(tblTasks[task_id],tblTasks[[#This Row],[predecessor_task_ids]])))=LEN(tblTasks[[#This Row],[predecessor_task_ids]])-LEN(SUBSTITUTE(tblTasks[[#This Row],[predecessor_task_ids]],";",""))+1,"valid","invalid")))</f>
        <v/>
      </c>
      <c r="R10" s="14">
        <f>IF(tblTasks[[#This Row],[task_id]]="","",IF(COUNTIF(tblProjects[project_id],tblTasks[[#This Row],[project_id]])=0,"orphan_project",IF(COUNTIFS(tblPhases[phase_id],tblTasks[[#This Row],[phase_id]],tblPhases[project_id],tblTasks[[#This Row],[project_id]])=0,"orphan_phase",IF(AND(tblTasks[[#This Row],[milestone_id]]&lt;&gt;"",COUNTIFS(tblMilestones[milestone_id],tblTasks[[#This Row],[milestone_id]],tblMilestones[project_id],tblTasks[[#This Row],[project_id]])=0),"orphan_milestone","valid"))))</f>
        <v/>
      </c>
      <c r="S10" s="14">
        <f>IF(tblTasks[[#This Row],[task_id]]="","",IF(tblTasks[[#This Row],[status]]="blocked",IF(COUNTIFS(tblEventLog[subject_id],tblTasks[[#This Row],[task_id]],tblEventLog[event_type],"task.status_changed")=0,"missing:task.status_changed","logged"),IF(AND(tblTasks[[#This Row],[status]]="completed",tblTasks[[#This Row],[completed_at]]&gt;=event_reconciliation_from_at,COUNTIFS(tblEventLog[subject_id],tblTasks[[#This Row],[task_id]],tblEventLog[event_type],"task.status_changed")=0),"missing:task.status_changed",IF(OR(AND(tblTasks[[#This Row],[status]]="completed",tblTasks[[#This Row],[completed_at]]&gt;=event_reconciliation_from_at)),"logged","not_required_or_before_window"))))</f>
        <v/>
      </c>
    </row>
    <row r="11">
      <c r="A11" s="6" t="inlineStr">
        <is>
          <t>TSK-000007</t>
        </is>
      </c>
      <c r="B11" s="6" t="inlineStr">
        <is>
          <t>PRJ-000002</t>
        </is>
      </c>
      <c r="C11" s="6" t="inlineStr">
        <is>
          <t>PHS-000005</t>
        </is>
      </c>
      <c r="D11" s="6" t="inlineStr">
        <is>
          <t>MLS-000004</t>
        </is>
      </c>
      <c r="E11" s="6" t="inlineStr">
        <is>
          <t>Approve solution design</t>
        </is>
      </c>
      <c r="F11" s="6" t="inlineStr">
        <is>
          <t>completed</t>
        </is>
      </c>
      <c r="G11" s="6" t="inlineStr">
        <is>
          <t>ROL-000001</t>
        </is>
      </c>
      <c r="H11" s="7" t="n">
        <v>6</v>
      </c>
      <c r="I11" s="7" t="n">
        <v>9</v>
      </c>
      <c r="J11" s="6" t="n"/>
      <c r="K11" s="6" t="inlineStr">
        <is>
          <t>2026-07-20</t>
        </is>
      </c>
      <c r="L11" s="6" t="inlineStr">
        <is>
          <t>2026-08-14</t>
        </is>
      </c>
      <c r="M11" s="6" t="inlineStr">
        <is>
          <t>2026-09-10T16:00:00Z</t>
        </is>
      </c>
      <c r="N11" s="7" t="b">
        <v>1</v>
      </c>
      <c r="O11" s="6" t="inlineStr">
        <is>
          <t>0.1.0</t>
        </is>
      </c>
      <c r="P11" s="14">
        <f>IF(tblTasks[[#This Row],[task_id]]="","",IF(tblTasks[[#This Row],[planned_due_date]]="","no_due_date",IF(tblTasks[[#This Row],[status]]="cancelled","cancelled",IF(tblTasks[[#This Row],[status]]="completed",IF(LEFT(tblTasks[[#This Row],[completed_at]],10)&lt;=tblTasks[[#This Row],[planned_due_date]],"completed_on_time","completed_late"),IF(tblTasks[[#This Row],[status]]="blocked","blocked",IF(tblTasks[[#This Row],[planned_due_date]]&lt;LEFT(calculation_as_of_at,10),"overdue","open_not_due"))))))</f>
        <v/>
      </c>
      <c r="Q11" s="14">
        <f>IF(tblTasks[[#This Row],[task_id]]="","",IF(tblTasks[[#This Row],[predecessor_task_ids]]="","no_predecessor",IF(SUMPRODUCT((tblTasks[task_id]&lt;&gt;"")*ISNUMBER(SEARCH(tblTasks[task_id],tblTasks[[#This Row],[predecessor_task_ids]])))=LEN(tblTasks[[#This Row],[predecessor_task_ids]])-LEN(SUBSTITUTE(tblTasks[[#This Row],[predecessor_task_ids]],";",""))+1,"valid","invalid")))</f>
        <v/>
      </c>
      <c r="R11" s="14">
        <f>IF(tblTasks[[#This Row],[task_id]]="","",IF(COUNTIF(tblProjects[project_id],tblTasks[[#This Row],[project_id]])=0,"orphan_project",IF(COUNTIFS(tblPhases[phase_id],tblTasks[[#This Row],[phase_id]],tblPhases[project_id],tblTasks[[#This Row],[project_id]])=0,"orphan_phase",IF(AND(tblTasks[[#This Row],[milestone_id]]&lt;&gt;"",COUNTIFS(tblMilestones[milestone_id],tblTasks[[#This Row],[milestone_id]],tblMilestones[project_id],tblTasks[[#This Row],[project_id]])=0),"orphan_milestone","valid"))))</f>
        <v/>
      </c>
      <c r="S11" s="14">
        <f>IF(tblTasks[[#This Row],[task_id]]="","",IF(tblTasks[[#This Row],[status]]="blocked",IF(COUNTIFS(tblEventLog[subject_id],tblTasks[[#This Row],[task_id]],tblEventLog[event_type],"task.status_changed")=0,"missing:task.status_changed","logged"),IF(AND(tblTasks[[#This Row],[status]]="completed",tblTasks[[#This Row],[completed_at]]&gt;=event_reconciliation_from_at,COUNTIFS(tblEventLog[subject_id],tblTasks[[#This Row],[task_id]],tblEventLog[event_type],"task.status_changed")=0),"missing:task.status_changed",IF(OR(AND(tblTasks[[#This Row],[status]]="completed",tblTasks[[#This Row],[completed_at]]&gt;=event_reconciliation_from_at)),"logged","not_required_or_before_window"))))</f>
        <v/>
      </c>
    </row>
    <row r="12">
      <c r="A12" s="6" t="inlineStr">
        <is>
          <t>TSK-000008</t>
        </is>
      </c>
      <c r="B12" s="6" t="inlineStr">
        <is>
          <t>PRJ-000002</t>
        </is>
      </c>
      <c r="C12" s="6" t="inlineStr">
        <is>
          <t>PHS-000006</t>
        </is>
      </c>
      <c r="D12" s="6" t="inlineStr">
        <is>
          <t>MLS-000006</t>
        </is>
      </c>
      <c r="E12" s="6" t="inlineStr">
        <is>
          <t>Set up build environment access</t>
        </is>
      </c>
      <c r="F12" s="6" t="inlineStr">
        <is>
          <t>completed</t>
        </is>
      </c>
      <c r="G12" s="6" t="inlineStr">
        <is>
          <t>ROL-000004</t>
        </is>
      </c>
      <c r="H12" s="7" t="n">
        <v>4</v>
      </c>
      <c r="I12" s="7" t="n">
        <v>4</v>
      </c>
      <c r="J12" s="6" t="inlineStr">
        <is>
          <t>TSK-000007</t>
        </is>
      </c>
      <c r="K12" s="6" t="inlineStr">
        <is>
          <t>2026-09-11</t>
        </is>
      </c>
      <c r="L12" s="6" t="inlineStr">
        <is>
          <t>2026-09-15</t>
        </is>
      </c>
      <c r="M12" s="6" t="inlineStr">
        <is>
          <t>2026-09-15T17:00:00Z</t>
        </is>
      </c>
      <c r="N12" s="7" t="b">
        <v>1</v>
      </c>
      <c r="O12" s="6" t="inlineStr">
        <is>
          <t>0.1.0</t>
        </is>
      </c>
      <c r="P12" s="14">
        <f>IF(tblTasks[[#This Row],[task_id]]="","",IF(tblTasks[[#This Row],[planned_due_date]]="","no_due_date",IF(tblTasks[[#This Row],[status]]="cancelled","cancelled",IF(tblTasks[[#This Row],[status]]="completed",IF(LEFT(tblTasks[[#This Row],[completed_at]],10)&lt;=tblTasks[[#This Row],[planned_due_date]],"completed_on_time","completed_late"),IF(tblTasks[[#This Row],[status]]="blocked","blocked",IF(tblTasks[[#This Row],[planned_due_date]]&lt;LEFT(calculation_as_of_at,10),"overdue","open_not_due"))))))</f>
        <v/>
      </c>
      <c r="Q12" s="14">
        <f>IF(tblTasks[[#This Row],[task_id]]="","",IF(tblTasks[[#This Row],[predecessor_task_ids]]="","no_predecessor",IF(SUMPRODUCT((tblTasks[task_id]&lt;&gt;"")*ISNUMBER(SEARCH(tblTasks[task_id],tblTasks[[#This Row],[predecessor_task_ids]])))=LEN(tblTasks[[#This Row],[predecessor_task_ids]])-LEN(SUBSTITUTE(tblTasks[[#This Row],[predecessor_task_ids]],";",""))+1,"valid","invalid")))</f>
        <v/>
      </c>
      <c r="R12" s="14">
        <f>IF(tblTasks[[#This Row],[task_id]]="","",IF(COUNTIF(tblProjects[project_id],tblTasks[[#This Row],[project_id]])=0,"orphan_project",IF(COUNTIFS(tblPhases[phase_id],tblTasks[[#This Row],[phase_id]],tblPhases[project_id],tblTasks[[#This Row],[project_id]])=0,"orphan_phase",IF(AND(tblTasks[[#This Row],[milestone_id]]&lt;&gt;"",COUNTIFS(tblMilestones[milestone_id],tblTasks[[#This Row],[milestone_id]],tblMilestones[project_id],tblTasks[[#This Row],[project_id]])=0),"orphan_milestone","valid"))))</f>
        <v/>
      </c>
      <c r="S12" s="14">
        <f>IF(tblTasks[[#This Row],[task_id]]="","",IF(tblTasks[[#This Row],[status]]="blocked",IF(COUNTIFS(tblEventLog[subject_id],tblTasks[[#This Row],[task_id]],tblEventLog[event_type],"task.status_changed")=0,"missing:task.status_changed","logged"),IF(AND(tblTasks[[#This Row],[status]]="completed",tblTasks[[#This Row],[completed_at]]&gt;=event_reconciliation_from_at,COUNTIFS(tblEventLog[subject_id],tblTasks[[#This Row],[task_id]],tblEventLog[event_type],"task.status_changed")=0),"missing:task.status_changed",IF(OR(AND(tblTasks[[#This Row],[status]]="completed",tblTasks[[#This Row],[completed_at]]&gt;=event_reconciliation_from_at)),"logged","not_required_or_before_window"))))</f>
        <v/>
      </c>
    </row>
    <row r="13">
      <c r="A13" s="6" t="inlineStr">
        <is>
          <t>TSK-000009</t>
        </is>
      </c>
      <c r="B13" s="6" t="inlineStr">
        <is>
          <t>PRJ-000002</t>
        </is>
      </c>
      <c r="C13" s="6" t="inlineStr">
        <is>
          <t>PHS-000006</t>
        </is>
      </c>
      <c r="D13" s="6" t="inlineStr">
        <is>
          <t>MLS-000006</t>
        </is>
      </c>
      <c r="E13" s="6" t="inlineStr">
        <is>
          <t>Configure core records</t>
        </is>
      </c>
      <c r="F13" s="6" t="inlineStr">
        <is>
          <t>in_progress</t>
        </is>
      </c>
      <c r="G13" s="6" t="inlineStr">
        <is>
          <t>ROL-000004</t>
        </is>
      </c>
      <c r="H13" s="7" t="n">
        <v>16</v>
      </c>
      <c r="I13" s="7" t="n">
        <v>10</v>
      </c>
      <c r="J13" s="6" t="inlineStr">
        <is>
          <t>TSK-000008</t>
        </is>
      </c>
      <c r="K13" s="6" t="inlineStr">
        <is>
          <t>2026-09-15</t>
        </is>
      </c>
      <c r="L13" s="6" t="inlineStr">
        <is>
          <t>2026-10-09</t>
        </is>
      </c>
      <c r="M13" s="6" t="n"/>
      <c r="N13" s="7" t="b">
        <v>1</v>
      </c>
      <c r="O13" s="6" t="inlineStr">
        <is>
          <t>0.1.0</t>
        </is>
      </c>
      <c r="P13" s="14">
        <f>IF(tblTasks[[#This Row],[task_id]]="","",IF(tblTasks[[#This Row],[planned_due_date]]="","no_due_date",IF(tblTasks[[#This Row],[status]]="cancelled","cancelled",IF(tblTasks[[#This Row],[status]]="completed",IF(LEFT(tblTasks[[#This Row],[completed_at]],10)&lt;=tblTasks[[#This Row],[planned_due_date]],"completed_on_time","completed_late"),IF(tblTasks[[#This Row],[status]]="blocked","blocked",IF(tblTasks[[#This Row],[planned_due_date]]&lt;LEFT(calculation_as_of_at,10),"overdue","open_not_due"))))))</f>
        <v/>
      </c>
      <c r="Q13" s="14">
        <f>IF(tblTasks[[#This Row],[task_id]]="","",IF(tblTasks[[#This Row],[predecessor_task_ids]]="","no_predecessor",IF(SUMPRODUCT((tblTasks[task_id]&lt;&gt;"")*ISNUMBER(SEARCH(tblTasks[task_id],tblTasks[[#This Row],[predecessor_task_ids]])))=LEN(tblTasks[[#This Row],[predecessor_task_ids]])-LEN(SUBSTITUTE(tblTasks[[#This Row],[predecessor_task_ids]],";",""))+1,"valid","invalid")))</f>
        <v/>
      </c>
      <c r="R13" s="14">
        <f>IF(tblTasks[[#This Row],[task_id]]="","",IF(COUNTIF(tblProjects[project_id],tblTasks[[#This Row],[project_id]])=0,"orphan_project",IF(COUNTIFS(tblPhases[phase_id],tblTasks[[#This Row],[phase_id]],tblPhases[project_id],tblTasks[[#This Row],[project_id]])=0,"orphan_phase",IF(AND(tblTasks[[#This Row],[milestone_id]]&lt;&gt;"",COUNTIFS(tblMilestones[milestone_id],tblTasks[[#This Row],[milestone_id]],tblMilestones[project_id],tblTasks[[#This Row],[project_id]])=0),"orphan_milestone","valid"))))</f>
        <v/>
      </c>
      <c r="S13" s="14">
        <f>IF(tblTasks[[#This Row],[task_id]]="","",IF(tblTasks[[#This Row],[status]]="blocked",IF(COUNTIFS(tblEventLog[subject_id],tblTasks[[#This Row],[task_id]],tblEventLog[event_type],"task.status_changed")=0,"missing:task.status_changed","logged"),IF(AND(tblTasks[[#This Row],[status]]="completed",tblTasks[[#This Row],[completed_at]]&gt;=event_reconciliation_from_at,COUNTIFS(tblEventLog[subject_id],tblTasks[[#This Row],[task_id]],tblEventLog[event_type],"task.status_changed")=0),"missing:task.status_changed",IF(OR(AND(tblTasks[[#This Row],[status]]="completed",tblTasks[[#This Row],[completed_at]]&gt;=event_reconciliation_from_at)),"logged","not_required_or_before_window"))))</f>
        <v/>
      </c>
    </row>
    <row r="14">
      <c r="A14" s="6" t="inlineStr">
        <is>
          <t>TSK-000010</t>
        </is>
      </c>
      <c r="B14" s="6" t="inlineStr">
        <is>
          <t>PRJ-000002</t>
        </is>
      </c>
      <c r="C14" s="6" t="inlineStr">
        <is>
          <t>PHS-000006</t>
        </is>
      </c>
      <c r="D14" s="6" t="inlineStr">
        <is>
          <t>MLS-000006</t>
        </is>
      </c>
      <c r="E14" s="6" t="inlineStr">
        <is>
          <t>Configure user roles</t>
        </is>
      </c>
      <c r="F14" s="6" t="inlineStr">
        <is>
          <t>completed</t>
        </is>
      </c>
      <c r="G14" s="6" t="inlineStr">
        <is>
          <t>ROL-000004</t>
        </is>
      </c>
      <c r="H14" s="7" t="n">
        <v>6</v>
      </c>
      <c r="I14" s="7" t="n">
        <v>5</v>
      </c>
      <c r="J14" s="6" t="inlineStr">
        <is>
          <t>TSK-000008</t>
        </is>
      </c>
      <c r="K14" s="6" t="inlineStr">
        <is>
          <t>2026-09-15</t>
        </is>
      </c>
      <c r="L14" s="6" t="inlineStr">
        <is>
          <t>2026-09-22</t>
        </is>
      </c>
      <c r="M14" s="6" t="inlineStr">
        <is>
          <t>2026-09-22T18:00:00Z</t>
        </is>
      </c>
      <c r="N14" s="7" t="b">
        <v>0</v>
      </c>
      <c r="O14" s="6" t="inlineStr">
        <is>
          <t>0.1.0</t>
        </is>
      </c>
      <c r="P14" s="14">
        <f>IF(tblTasks[[#This Row],[task_id]]="","",IF(tblTasks[[#This Row],[planned_due_date]]="","no_due_date",IF(tblTasks[[#This Row],[status]]="cancelled","cancelled",IF(tblTasks[[#This Row],[status]]="completed",IF(LEFT(tblTasks[[#This Row],[completed_at]],10)&lt;=tblTasks[[#This Row],[planned_due_date]],"completed_on_time","completed_late"),IF(tblTasks[[#This Row],[status]]="blocked","blocked",IF(tblTasks[[#This Row],[planned_due_date]]&lt;LEFT(calculation_as_of_at,10),"overdue","open_not_due"))))))</f>
        <v/>
      </c>
      <c r="Q14" s="14">
        <f>IF(tblTasks[[#This Row],[task_id]]="","",IF(tblTasks[[#This Row],[predecessor_task_ids]]="","no_predecessor",IF(SUMPRODUCT((tblTasks[task_id]&lt;&gt;"")*ISNUMBER(SEARCH(tblTasks[task_id],tblTasks[[#This Row],[predecessor_task_ids]])))=LEN(tblTasks[[#This Row],[predecessor_task_ids]])-LEN(SUBSTITUTE(tblTasks[[#This Row],[predecessor_task_ids]],";",""))+1,"valid","invalid")))</f>
        <v/>
      </c>
      <c r="R14" s="14">
        <f>IF(tblTasks[[#This Row],[task_id]]="","",IF(COUNTIF(tblProjects[project_id],tblTasks[[#This Row],[project_id]])=0,"orphan_project",IF(COUNTIFS(tblPhases[phase_id],tblTasks[[#This Row],[phase_id]],tblPhases[project_id],tblTasks[[#This Row],[project_id]])=0,"orphan_phase",IF(AND(tblTasks[[#This Row],[milestone_id]]&lt;&gt;"",COUNTIFS(tblMilestones[milestone_id],tblTasks[[#This Row],[milestone_id]],tblMilestones[project_id],tblTasks[[#This Row],[project_id]])=0),"orphan_milestone","valid"))))</f>
        <v/>
      </c>
      <c r="S14" s="14">
        <f>IF(tblTasks[[#This Row],[task_id]]="","",IF(tblTasks[[#This Row],[status]]="blocked",IF(COUNTIFS(tblEventLog[subject_id],tblTasks[[#This Row],[task_id]],tblEventLog[event_type],"task.status_changed")=0,"missing:task.status_changed","logged"),IF(AND(tblTasks[[#This Row],[status]]="completed",tblTasks[[#This Row],[completed_at]]&gt;=event_reconciliation_from_at,COUNTIFS(tblEventLog[subject_id],tblTasks[[#This Row],[task_id]],tblEventLog[event_type],"task.status_changed")=0),"missing:task.status_changed",IF(OR(AND(tblTasks[[#This Row],[status]]="completed",tblTasks[[#This Row],[completed_at]]&gt;=event_reconciliation_from_at)),"logged","not_required_or_before_window"))))</f>
        <v/>
      </c>
    </row>
    <row r="15">
      <c r="A15" s="6" t="inlineStr">
        <is>
          <t>TSK-000011</t>
        </is>
      </c>
      <c r="B15" s="6" t="inlineStr">
        <is>
          <t>PRJ-000002</t>
        </is>
      </c>
      <c r="C15" s="6" t="inlineStr">
        <is>
          <t>PHS-000006</t>
        </is>
      </c>
      <c r="D15" s="6" t="inlineStr">
        <is>
          <t>MLS-000005</t>
        </is>
      </c>
      <c r="E15" s="6" t="inlineStr">
        <is>
          <t>Obtain integration credentials from the customer</t>
        </is>
      </c>
      <c r="F15" s="6" t="inlineStr">
        <is>
          <t>blocked</t>
        </is>
      </c>
      <c r="G15" s="6" t="inlineStr">
        <is>
          <t>ROL-000001</t>
        </is>
      </c>
      <c r="H15" s="7" t="n">
        <v>4</v>
      </c>
      <c r="I15" s="7" t="n">
        <v>2</v>
      </c>
      <c r="J15" s="6" t="inlineStr">
        <is>
          <t>TSK-000008</t>
        </is>
      </c>
      <c r="K15" s="6" t="inlineStr">
        <is>
          <t>2026-09-16</t>
        </is>
      </c>
      <c r="L15" s="6" t="inlineStr">
        <is>
          <t>2026-09-25</t>
        </is>
      </c>
      <c r="M15" s="6" t="n"/>
      <c r="N15" s="7" t="b">
        <v>1</v>
      </c>
      <c r="O15" s="6" t="inlineStr">
        <is>
          <t>0.1.0</t>
        </is>
      </c>
      <c r="P15" s="14">
        <f>IF(tblTasks[[#This Row],[task_id]]="","",IF(tblTasks[[#This Row],[planned_due_date]]="","no_due_date",IF(tblTasks[[#This Row],[status]]="cancelled","cancelled",IF(tblTasks[[#This Row],[status]]="completed",IF(LEFT(tblTasks[[#This Row],[completed_at]],10)&lt;=tblTasks[[#This Row],[planned_due_date]],"completed_on_time","completed_late"),IF(tblTasks[[#This Row],[status]]="blocked","blocked",IF(tblTasks[[#This Row],[planned_due_date]]&lt;LEFT(calculation_as_of_at,10),"overdue","open_not_due"))))))</f>
        <v/>
      </c>
      <c r="Q15" s="14">
        <f>IF(tblTasks[[#This Row],[task_id]]="","",IF(tblTasks[[#This Row],[predecessor_task_ids]]="","no_predecessor",IF(SUMPRODUCT((tblTasks[task_id]&lt;&gt;"")*ISNUMBER(SEARCH(tblTasks[task_id],tblTasks[[#This Row],[predecessor_task_ids]])))=LEN(tblTasks[[#This Row],[predecessor_task_ids]])-LEN(SUBSTITUTE(tblTasks[[#This Row],[predecessor_task_ids]],";",""))+1,"valid","invalid")))</f>
        <v/>
      </c>
      <c r="R15" s="14">
        <f>IF(tblTasks[[#This Row],[task_id]]="","",IF(COUNTIF(tblProjects[project_id],tblTasks[[#This Row],[project_id]])=0,"orphan_project",IF(COUNTIFS(tblPhases[phase_id],tblTasks[[#This Row],[phase_id]],tblPhases[project_id],tblTasks[[#This Row],[project_id]])=0,"orphan_phase",IF(AND(tblTasks[[#This Row],[milestone_id]]&lt;&gt;"",COUNTIFS(tblMilestones[milestone_id],tblTasks[[#This Row],[milestone_id]],tblMilestones[project_id],tblTasks[[#This Row],[project_id]])=0),"orphan_milestone","valid"))))</f>
        <v/>
      </c>
      <c r="S15" s="14">
        <f>IF(tblTasks[[#This Row],[task_id]]="","",IF(tblTasks[[#This Row],[status]]="blocked",IF(COUNTIFS(tblEventLog[subject_id],tblTasks[[#This Row],[task_id]],tblEventLog[event_type],"task.status_changed")=0,"missing:task.status_changed","logged"),IF(AND(tblTasks[[#This Row],[status]]="completed",tblTasks[[#This Row],[completed_at]]&gt;=event_reconciliation_from_at,COUNTIFS(tblEventLog[subject_id],tblTasks[[#This Row],[task_id]],tblEventLog[event_type],"task.status_changed")=0),"missing:task.status_changed",IF(OR(AND(tblTasks[[#This Row],[status]]="completed",tblTasks[[#This Row],[completed_at]]&gt;=event_reconciliation_from_at)),"logged","not_required_or_before_window"))))</f>
        <v/>
      </c>
    </row>
    <row r="16">
      <c r="A16" s="6" t="inlineStr">
        <is>
          <t>TSK-000012</t>
        </is>
      </c>
      <c r="B16" s="6" t="inlineStr">
        <is>
          <t>PRJ-000002</t>
        </is>
      </c>
      <c r="C16" s="6" t="inlineStr">
        <is>
          <t>PHS-000006</t>
        </is>
      </c>
      <c r="D16" s="6" t="inlineStr">
        <is>
          <t>MLS-000005</t>
        </is>
      </c>
      <c r="E16" s="6" t="inlineStr">
        <is>
          <t>Build integration mappings</t>
        </is>
      </c>
      <c r="F16" s="6" t="inlineStr">
        <is>
          <t>not_started</t>
        </is>
      </c>
      <c r="G16" s="6" t="inlineStr">
        <is>
          <t>ROL-000004</t>
        </is>
      </c>
      <c r="H16" s="7" t="n">
        <v>12</v>
      </c>
      <c r="I16" s="7" t="n"/>
      <c r="J16" s="6" t="inlineStr">
        <is>
          <t>TSK-000011</t>
        </is>
      </c>
      <c r="K16" s="6" t="inlineStr">
        <is>
          <t>2026-09-25</t>
        </is>
      </c>
      <c r="L16" s="6" t="inlineStr">
        <is>
          <t>2026-09-30</t>
        </is>
      </c>
      <c r="M16" s="6" t="n"/>
      <c r="N16" s="7" t="b">
        <v>1</v>
      </c>
      <c r="O16" s="6" t="inlineStr">
        <is>
          <t>0.1.0</t>
        </is>
      </c>
      <c r="P16" s="14">
        <f>IF(tblTasks[[#This Row],[task_id]]="","",IF(tblTasks[[#This Row],[planned_due_date]]="","no_due_date",IF(tblTasks[[#This Row],[status]]="cancelled","cancelled",IF(tblTasks[[#This Row],[status]]="completed",IF(LEFT(tblTasks[[#This Row],[completed_at]],10)&lt;=tblTasks[[#This Row],[planned_due_date]],"completed_on_time","completed_late"),IF(tblTasks[[#This Row],[status]]="blocked","blocked",IF(tblTasks[[#This Row],[planned_due_date]]&lt;LEFT(calculation_as_of_at,10),"overdue","open_not_due"))))))</f>
        <v/>
      </c>
      <c r="Q16" s="14">
        <f>IF(tblTasks[[#This Row],[task_id]]="","",IF(tblTasks[[#This Row],[predecessor_task_ids]]="","no_predecessor",IF(SUMPRODUCT((tblTasks[task_id]&lt;&gt;"")*ISNUMBER(SEARCH(tblTasks[task_id],tblTasks[[#This Row],[predecessor_task_ids]])))=LEN(tblTasks[[#This Row],[predecessor_task_ids]])-LEN(SUBSTITUTE(tblTasks[[#This Row],[predecessor_task_ids]],";",""))+1,"valid","invalid")))</f>
        <v/>
      </c>
      <c r="R16" s="14">
        <f>IF(tblTasks[[#This Row],[task_id]]="","",IF(COUNTIF(tblProjects[project_id],tblTasks[[#This Row],[project_id]])=0,"orphan_project",IF(COUNTIFS(tblPhases[phase_id],tblTasks[[#This Row],[phase_id]],tblPhases[project_id],tblTasks[[#This Row],[project_id]])=0,"orphan_phase",IF(AND(tblTasks[[#This Row],[milestone_id]]&lt;&gt;"",COUNTIFS(tblMilestones[milestone_id],tblTasks[[#This Row],[milestone_id]],tblMilestones[project_id],tblTasks[[#This Row],[project_id]])=0),"orphan_milestone","valid"))))</f>
        <v/>
      </c>
      <c r="S16" s="14">
        <f>IF(tblTasks[[#This Row],[task_id]]="","",IF(tblTasks[[#This Row],[status]]="blocked",IF(COUNTIFS(tblEventLog[subject_id],tblTasks[[#This Row],[task_id]],tblEventLog[event_type],"task.status_changed")=0,"missing:task.status_changed","logged"),IF(AND(tblTasks[[#This Row],[status]]="completed",tblTasks[[#This Row],[completed_at]]&gt;=event_reconciliation_from_at,COUNTIFS(tblEventLog[subject_id],tblTasks[[#This Row],[task_id]],tblEventLog[event_type],"task.status_changed")=0),"missing:task.status_changed",IF(OR(AND(tblTasks[[#This Row],[status]]="completed",tblTasks[[#This Row],[completed_at]]&gt;=event_reconciliation_from_at)),"logged","not_required_or_before_window"))))</f>
        <v/>
      </c>
    </row>
    <row r="17">
      <c r="A17" s="6" t="inlineStr">
        <is>
          <t>TSK-000013</t>
        </is>
      </c>
      <c r="B17" s="6" t="inlineStr">
        <is>
          <t>PRJ-000002</t>
        </is>
      </c>
      <c r="C17" s="6" t="inlineStr">
        <is>
          <t>PHS-000006</t>
        </is>
      </c>
      <c r="D17" s="6" t="inlineStr">
        <is>
          <t>MLS-000005</t>
        </is>
      </c>
      <c r="E17" s="6" t="inlineStr">
        <is>
          <t>Test integration end to end</t>
        </is>
      </c>
      <c r="F17" s="6" t="inlineStr">
        <is>
          <t>not_started</t>
        </is>
      </c>
      <c r="G17" s="6" t="inlineStr">
        <is>
          <t>ROL-000004</t>
        </is>
      </c>
      <c r="H17" s="7" t="n">
        <v>6</v>
      </c>
      <c r="I17" s="7" t="n"/>
      <c r="J17" s="6" t="inlineStr">
        <is>
          <t>TSK-000012</t>
        </is>
      </c>
      <c r="K17" s="6" t="inlineStr">
        <is>
          <t>2026-09-30</t>
        </is>
      </c>
      <c r="L17" s="6" t="inlineStr">
        <is>
          <t>2026-10-02</t>
        </is>
      </c>
      <c r="M17" s="6" t="n"/>
      <c r="N17" s="7" t="b">
        <v>1</v>
      </c>
      <c r="O17" s="6" t="inlineStr">
        <is>
          <t>0.1.0</t>
        </is>
      </c>
      <c r="P17" s="14">
        <f>IF(tblTasks[[#This Row],[task_id]]="","",IF(tblTasks[[#This Row],[planned_due_date]]="","no_due_date",IF(tblTasks[[#This Row],[status]]="cancelled","cancelled",IF(tblTasks[[#This Row],[status]]="completed",IF(LEFT(tblTasks[[#This Row],[completed_at]],10)&lt;=tblTasks[[#This Row],[planned_due_date]],"completed_on_time","completed_late"),IF(tblTasks[[#This Row],[status]]="blocked","blocked",IF(tblTasks[[#This Row],[planned_due_date]]&lt;LEFT(calculation_as_of_at,10),"overdue","open_not_due"))))))</f>
        <v/>
      </c>
      <c r="Q17" s="14">
        <f>IF(tblTasks[[#This Row],[task_id]]="","",IF(tblTasks[[#This Row],[predecessor_task_ids]]="","no_predecessor",IF(SUMPRODUCT((tblTasks[task_id]&lt;&gt;"")*ISNUMBER(SEARCH(tblTasks[task_id],tblTasks[[#This Row],[predecessor_task_ids]])))=LEN(tblTasks[[#This Row],[predecessor_task_ids]])-LEN(SUBSTITUTE(tblTasks[[#This Row],[predecessor_task_ids]],";",""))+1,"valid","invalid")))</f>
        <v/>
      </c>
      <c r="R17" s="14">
        <f>IF(tblTasks[[#This Row],[task_id]]="","",IF(COUNTIF(tblProjects[project_id],tblTasks[[#This Row],[project_id]])=0,"orphan_project",IF(COUNTIFS(tblPhases[phase_id],tblTasks[[#This Row],[phase_id]],tblPhases[project_id],tblTasks[[#This Row],[project_id]])=0,"orphan_phase",IF(AND(tblTasks[[#This Row],[milestone_id]]&lt;&gt;"",COUNTIFS(tblMilestones[milestone_id],tblTasks[[#This Row],[milestone_id]],tblMilestones[project_id],tblTasks[[#This Row],[project_id]])=0),"orphan_milestone","valid"))))</f>
        <v/>
      </c>
      <c r="S17" s="14">
        <f>IF(tblTasks[[#This Row],[task_id]]="","",IF(tblTasks[[#This Row],[status]]="blocked",IF(COUNTIFS(tblEventLog[subject_id],tblTasks[[#This Row],[task_id]],tblEventLog[event_type],"task.status_changed")=0,"missing:task.status_changed","logged"),IF(AND(tblTasks[[#This Row],[status]]="completed",tblTasks[[#This Row],[completed_at]]&gt;=event_reconciliation_from_at,COUNTIFS(tblEventLog[subject_id],tblTasks[[#This Row],[task_id]],tblEventLog[event_type],"task.status_changed")=0),"missing:task.status_changed",IF(OR(AND(tblTasks[[#This Row],[status]]="completed",tblTasks[[#This Row],[completed_at]]&gt;=event_reconciliation_from_at)),"logged","not_required_or_before_window"))))</f>
        <v/>
      </c>
    </row>
    <row r="18">
      <c r="A18" s="6" t="inlineStr">
        <is>
          <t>TSK-000014</t>
        </is>
      </c>
      <c r="B18" s="6" t="inlineStr">
        <is>
          <t>PRJ-000002</t>
        </is>
      </c>
      <c r="C18" s="6" t="inlineStr">
        <is>
          <t>PHS-000006</t>
        </is>
      </c>
      <c r="D18" s="6" t="inlineStr">
        <is>
          <t>MLS-000006</t>
        </is>
      </c>
      <c r="E18" s="6" t="inlineStr">
        <is>
          <t>Load reference data</t>
        </is>
      </c>
      <c r="F18" s="6" t="inlineStr">
        <is>
          <t>in_progress</t>
        </is>
      </c>
      <c r="G18" s="6" t="inlineStr">
        <is>
          <t>ROL-000004</t>
        </is>
      </c>
      <c r="H18" s="7" t="n">
        <v>8</v>
      </c>
      <c r="I18" s="7" t="n">
        <v>3</v>
      </c>
      <c r="J18" s="6" t="inlineStr">
        <is>
          <t>TSK-000010</t>
        </is>
      </c>
      <c r="K18" s="6" t="inlineStr">
        <is>
          <t>2026-09-22</t>
        </is>
      </c>
      <c r="L18" s="6" t="inlineStr">
        <is>
          <t>2026-10-09</t>
        </is>
      </c>
      <c r="M18" s="6" t="n"/>
      <c r="N18" s="7" t="b">
        <v>0</v>
      </c>
      <c r="O18" s="6" t="inlineStr">
        <is>
          <t>0.1.0</t>
        </is>
      </c>
      <c r="P18" s="14">
        <f>IF(tblTasks[[#This Row],[task_id]]="","",IF(tblTasks[[#This Row],[planned_due_date]]="","no_due_date",IF(tblTasks[[#This Row],[status]]="cancelled","cancelled",IF(tblTasks[[#This Row],[status]]="completed",IF(LEFT(tblTasks[[#This Row],[completed_at]],10)&lt;=tblTasks[[#This Row],[planned_due_date]],"completed_on_time","completed_late"),IF(tblTasks[[#This Row],[status]]="blocked","blocked",IF(tblTasks[[#This Row],[planned_due_date]]&lt;LEFT(calculation_as_of_at,10),"overdue","open_not_due"))))))</f>
        <v/>
      </c>
      <c r="Q18" s="14">
        <f>IF(tblTasks[[#This Row],[task_id]]="","",IF(tblTasks[[#This Row],[predecessor_task_ids]]="","no_predecessor",IF(SUMPRODUCT((tblTasks[task_id]&lt;&gt;"")*ISNUMBER(SEARCH(tblTasks[task_id],tblTasks[[#This Row],[predecessor_task_ids]])))=LEN(tblTasks[[#This Row],[predecessor_task_ids]])-LEN(SUBSTITUTE(tblTasks[[#This Row],[predecessor_task_ids]],";",""))+1,"valid","invalid")))</f>
        <v/>
      </c>
      <c r="R18" s="14">
        <f>IF(tblTasks[[#This Row],[task_id]]="","",IF(COUNTIF(tblProjects[project_id],tblTasks[[#This Row],[project_id]])=0,"orphan_project",IF(COUNTIFS(tblPhases[phase_id],tblTasks[[#This Row],[phase_id]],tblPhases[project_id],tblTasks[[#This Row],[project_id]])=0,"orphan_phase",IF(AND(tblTasks[[#This Row],[milestone_id]]&lt;&gt;"",COUNTIFS(tblMilestones[milestone_id],tblTasks[[#This Row],[milestone_id]],tblMilestones[project_id],tblTasks[[#This Row],[project_id]])=0),"orphan_milestone","valid"))))</f>
        <v/>
      </c>
      <c r="S18" s="14">
        <f>IF(tblTasks[[#This Row],[task_id]]="","",IF(tblTasks[[#This Row],[status]]="blocked",IF(COUNTIFS(tblEventLog[subject_id],tblTasks[[#This Row],[task_id]],tblEventLog[event_type],"task.status_changed")=0,"missing:task.status_changed","logged"),IF(AND(tblTasks[[#This Row],[status]]="completed",tblTasks[[#This Row],[completed_at]]&gt;=event_reconciliation_from_at,COUNTIFS(tblEventLog[subject_id],tblTasks[[#This Row],[task_id]],tblEventLog[event_type],"task.status_changed")=0),"missing:task.status_changed",IF(OR(AND(tblTasks[[#This Row],[status]]="completed",tblTasks[[#This Row],[completed_at]]&gt;=event_reconciliation_from_at)),"logged","not_required_or_before_window"))))</f>
        <v/>
      </c>
    </row>
    <row r="19">
      <c r="A19" s="6" t="inlineStr">
        <is>
          <t>TSK-000015</t>
        </is>
      </c>
      <c r="B19" s="6" t="inlineStr">
        <is>
          <t>PRJ-000002</t>
        </is>
      </c>
      <c r="C19" s="6" t="inlineStr">
        <is>
          <t>PHS-000006</t>
        </is>
      </c>
      <c r="D19" s="6" t="inlineStr">
        <is>
          <t>MLS-000006</t>
        </is>
      </c>
      <c r="E19" s="6" t="inlineStr">
        <is>
          <t>Prepare validation scenarios</t>
        </is>
      </c>
      <c r="F19" s="6" t="inlineStr">
        <is>
          <t>not_started</t>
        </is>
      </c>
      <c r="G19" s="6" t="inlineStr">
        <is>
          <t>ROL-000001</t>
        </is>
      </c>
      <c r="H19" s="7" t="n">
        <v>5</v>
      </c>
      <c r="I19" s="7" t="n"/>
      <c r="J19" s="6" t="inlineStr">
        <is>
          <t>TSK-000009</t>
        </is>
      </c>
      <c r="K19" s="6" t="inlineStr">
        <is>
          <t>2026-10-09</t>
        </is>
      </c>
      <c r="L19" s="6" t="inlineStr">
        <is>
          <t>2026-10-16</t>
        </is>
      </c>
      <c r="M19" s="6" t="n"/>
      <c r="N19" s="7" t="b">
        <v>0</v>
      </c>
      <c r="O19" s="6" t="inlineStr">
        <is>
          <t>0.1.0</t>
        </is>
      </c>
      <c r="P19" s="14">
        <f>IF(tblTasks[[#This Row],[task_id]]="","",IF(tblTasks[[#This Row],[planned_due_date]]="","no_due_date",IF(tblTasks[[#This Row],[status]]="cancelled","cancelled",IF(tblTasks[[#This Row],[status]]="completed",IF(LEFT(tblTasks[[#This Row],[completed_at]],10)&lt;=tblTasks[[#This Row],[planned_due_date]],"completed_on_time","completed_late"),IF(tblTasks[[#This Row],[status]]="blocked","blocked",IF(tblTasks[[#This Row],[planned_due_date]]&lt;LEFT(calculation_as_of_at,10),"overdue","open_not_due"))))))</f>
        <v/>
      </c>
      <c r="Q19" s="14">
        <f>IF(tblTasks[[#This Row],[task_id]]="","",IF(tblTasks[[#This Row],[predecessor_task_ids]]="","no_predecessor",IF(SUMPRODUCT((tblTasks[task_id]&lt;&gt;"")*ISNUMBER(SEARCH(tblTasks[task_id],tblTasks[[#This Row],[predecessor_task_ids]])))=LEN(tblTasks[[#This Row],[predecessor_task_ids]])-LEN(SUBSTITUTE(tblTasks[[#This Row],[predecessor_task_ids]],";",""))+1,"valid","invalid")))</f>
        <v/>
      </c>
      <c r="R19" s="14">
        <f>IF(tblTasks[[#This Row],[task_id]]="","",IF(COUNTIF(tblProjects[project_id],tblTasks[[#This Row],[project_id]])=0,"orphan_project",IF(COUNTIFS(tblPhases[phase_id],tblTasks[[#This Row],[phase_id]],tblPhases[project_id],tblTasks[[#This Row],[project_id]])=0,"orphan_phase",IF(AND(tblTasks[[#This Row],[milestone_id]]&lt;&gt;"",COUNTIFS(tblMilestones[milestone_id],tblTasks[[#This Row],[milestone_id]],tblMilestones[project_id],tblTasks[[#This Row],[project_id]])=0),"orphan_milestone","valid"))))</f>
        <v/>
      </c>
      <c r="S19" s="14">
        <f>IF(tblTasks[[#This Row],[task_id]]="","",IF(tblTasks[[#This Row],[status]]="blocked",IF(COUNTIFS(tblEventLog[subject_id],tblTasks[[#This Row],[task_id]],tblEventLog[event_type],"task.status_changed")=0,"missing:task.status_changed","logged"),IF(AND(tblTasks[[#This Row],[status]]="completed",tblTasks[[#This Row],[completed_at]]&gt;=event_reconciliation_from_at,COUNTIFS(tblEventLog[subject_id],tblTasks[[#This Row],[task_id]],tblEventLog[event_type],"task.status_changed")=0),"missing:task.status_changed",IF(OR(AND(tblTasks[[#This Row],[status]]="completed",tblTasks[[#This Row],[completed_at]]&gt;=event_reconciliation_from_at)),"logged","not_required_or_before_window"))))</f>
        <v/>
      </c>
    </row>
    <row r="20">
      <c r="A20" s="6" t="inlineStr">
        <is>
          <t>TSK-000016</t>
        </is>
      </c>
      <c r="B20" s="6" t="inlineStr">
        <is>
          <t>PRJ-000002</t>
        </is>
      </c>
      <c r="C20" s="6" t="inlineStr">
        <is>
          <t>PHS-000006</t>
        </is>
      </c>
      <c r="D20" s="6" t="n"/>
      <c r="E20" s="6" t="inlineStr">
        <is>
          <t>Update risk entries after the design change</t>
        </is>
      </c>
      <c r="F20" s="6" t="inlineStr">
        <is>
          <t>completed</t>
        </is>
      </c>
      <c r="G20" s="6" t="inlineStr">
        <is>
          <t>ROL-000001</t>
        </is>
      </c>
      <c r="H20" s="7" t="n">
        <v>1</v>
      </c>
      <c r="I20" s="7" t="n">
        <v>1.5</v>
      </c>
      <c r="J20" s="6" t="n"/>
      <c r="K20" s="6" t="inlineStr">
        <is>
          <t>2026-09-11</t>
        </is>
      </c>
      <c r="L20" s="6" t="inlineStr">
        <is>
          <t>2026-09-12</t>
        </is>
      </c>
      <c r="M20" s="6" t="inlineStr">
        <is>
          <t>2026-09-12T15:00:00Z</t>
        </is>
      </c>
      <c r="N20" s="7" t="b">
        <v>0</v>
      </c>
      <c r="O20" s="6" t="inlineStr">
        <is>
          <t>0.1.0</t>
        </is>
      </c>
      <c r="P20" s="14">
        <f>IF(tblTasks[[#This Row],[task_id]]="","",IF(tblTasks[[#This Row],[planned_due_date]]="","no_due_date",IF(tblTasks[[#This Row],[status]]="cancelled","cancelled",IF(tblTasks[[#This Row],[status]]="completed",IF(LEFT(tblTasks[[#This Row],[completed_at]],10)&lt;=tblTasks[[#This Row],[planned_due_date]],"completed_on_time","completed_late"),IF(tblTasks[[#This Row],[status]]="blocked","blocked",IF(tblTasks[[#This Row],[planned_due_date]]&lt;LEFT(calculation_as_of_at,10),"overdue","open_not_due"))))))</f>
        <v/>
      </c>
      <c r="Q20" s="14">
        <f>IF(tblTasks[[#This Row],[task_id]]="","",IF(tblTasks[[#This Row],[predecessor_task_ids]]="","no_predecessor",IF(SUMPRODUCT((tblTasks[task_id]&lt;&gt;"")*ISNUMBER(SEARCH(tblTasks[task_id],tblTasks[[#This Row],[predecessor_task_ids]])))=LEN(tblTasks[[#This Row],[predecessor_task_ids]])-LEN(SUBSTITUTE(tblTasks[[#This Row],[predecessor_task_ids]],";",""))+1,"valid","invalid")))</f>
        <v/>
      </c>
      <c r="R20" s="14">
        <f>IF(tblTasks[[#This Row],[task_id]]="","",IF(COUNTIF(tblProjects[project_id],tblTasks[[#This Row],[project_id]])=0,"orphan_project",IF(COUNTIFS(tblPhases[phase_id],tblTasks[[#This Row],[phase_id]],tblPhases[project_id],tblTasks[[#This Row],[project_id]])=0,"orphan_phase",IF(AND(tblTasks[[#This Row],[milestone_id]]&lt;&gt;"",COUNTIFS(tblMilestones[milestone_id],tblTasks[[#This Row],[milestone_id]],tblMilestones[project_id],tblTasks[[#This Row],[project_id]])=0),"orphan_milestone","valid"))))</f>
        <v/>
      </c>
      <c r="S20" s="14">
        <f>IF(tblTasks[[#This Row],[task_id]]="","",IF(tblTasks[[#This Row],[status]]="blocked",IF(COUNTIFS(tblEventLog[subject_id],tblTasks[[#This Row],[task_id]],tblEventLog[event_type],"task.status_changed")=0,"missing:task.status_changed","logged"),IF(AND(tblTasks[[#This Row],[status]]="completed",tblTasks[[#This Row],[completed_at]]&gt;=event_reconciliation_from_at,COUNTIFS(tblEventLog[subject_id],tblTasks[[#This Row],[task_id]],tblEventLog[event_type],"task.status_changed")=0),"missing:task.status_changed",IF(OR(AND(tblTasks[[#This Row],[status]]="completed",tblTasks[[#This Row],[completed_at]]&gt;=event_reconciliation_from_at)),"logged","not_required_or_before_window"))))</f>
        <v/>
      </c>
    </row>
    <row r="21">
      <c r="A21" s="6" t="inlineStr">
        <is>
          <t>TSK-000017</t>
        </is>
      </c>
      <c r="B21" s="6" t="inlineStr">
        <is>
          <t>PRJ-000003</t>
        </is>
      </c>
      <c r="C21" s="6" t="inlineStr">
        <is>
          <t>PHS-000009</t>
        </is>
      </c>
      <c r="D21" s="6" t="inlineStr">
        <is>
          <t>MLS-000008</t>
        </is>
      </c>
      <c r="E21" s="6" t="inlineStr">
        <is>
          <t>Approve solution design</t>
        </is>
      </c>
      <c r="F21" s="6" t="inlineStr">
        <is>
          <t>completed</t>
        </is>
      </c>
      <c r="G21" s="6" t="inlineStr">
        <is>
          <t>ROL-000001</t>
        </is>
      </c>
      <c r="H21" s="7" t="n">
        <v>8</v>
      </c>
      <c r="I21" s="7" t="n">
        <v>8</v>
      </c>
      <c r="J21" s="6" t="n"/>
      <c r="K21" s="6" t="inlineStr">
        <is>
          <t>2026-04-27</t>
        </is>
      </c>
      <c r="L21" s="6" t="inlineStr">
        <is>
          <t>2026-05-14</t>
        </is>
      </c>
      <c r="M21" s="6" t="inlineStr">
        <is>
          <t>2026-05-14T16:00:00Z</t>
        </is>
      </c>
      <c r="N21" s="7" t="b">
        <v>1</v>
      </c>
      <c r="O21" s="6" t="inlineStr">
        <is>
          <t>0.1.0</t>
        </is>
      </c>
      <c r="P21" s="14">
        <f>IF(tblTasks[[#This Row],[task_id]]="","",IF(tblTasks[[#This Row],[planned_due_date]]="","no_due_date",IF(tblTasks[[#This Row],[status]]="cancelled","cancelled",IF(tblTasks[[#This Row],[status]]="completed",IF(LEFT(tblTasks[[#This Row],[completed_at]],10)&lt;=tblTasks[[#This Row],[planned_due_date]],"completed_on_time","completed_late"),IF(tblTasks[[#This Row],[status]]="blocked","blocked",IF(tblTasks[[#This Row],[planned_due_date]]&lt;LEFT(calculation_as_of_at,10),"overdue","open_not_due"))))))</f>
        <v/>
      </c>
      <c r="Q21" s="14">
        <f>IF(tblTasks[[#This Row],[task_id]]="","",IF(tblTasks[[#This Row],[predecessor_task_ids]]="","no_predecessor",IF(SUMPRODUCT((tblTasks[task_id]&lt;&gt;"")*ISNUMBER(SEARCH(tblTasks[task_id],tblTasks[[#This Row],[predecessor_task_ids]])))=LEN(tblTasks[[#This Row],[predecessor_task_ids]])-LEN(SUBSTITUTE(tblTasks[[#This Row],[predecessor_task_ids]],";",""))+1,"valid","invalid")))</f>
        <v/>
      </c>
      <c r="R21" s="14">
        <f>IF(tblTasks[[#This Row],[task_id]]="","",IF(COUNTIF(tblProjects[project_id],tblTasks[[#This Row],[project_id]])=0,"orphan_project",IF(COUNTIFS(tblPhases[phase_id],tblTasks[[#This Row],[phase_id]],tblPhases[project_id],tblTasks[[#This Row],[project_id]])=0,"orphan_phase",IF(AND(tblTasks[[#This Row],[milestone_id]]&lt;&gt;"",COUNTIFS(tblMilestones[milestone_id],tblTasks[[#This Row],[milestone_id]],tblMilestones[project_id],tblTasks[[#This Row],[project_id]])=0),"orphan_milestone","valid"))))</f>
        <v/>
      </c>
      <c r="S21" s="14">
        <f>IF(tblTasks[[#This Row],[task_id]]="","",IF(tblTasks[[#This Row],[status]]="blocked",IF(COUNTIFS(tblEventLog[subject_id],tblTasks[[#This Row],[task_id]],tblEventLog[event_type],"task.status_changed")=0,"missing:task.status_changed","logged"),IF(AND(tblTasks[[#This Row],[status]]="completed",tblTasks[[#This Row],[completed_at]]&gt;=event_reconciliation_from_at,COUNTIFS(tblEventLog[subject_id],tblTasks[[#This Row],[task_id]],tblEventLog[event_type],"task.status_changed")=0),"missing:task.status_changed",IF(OR(AND(tblTasks[[#This Row],[status]]="completed",tblTasks[[#This Row],[completed_at]]&gt;=event_reconciliation_from_at)),"logged","not_required_or_before_window"))))</f>
        <v/>
      </c>
    </row>
    <row r="22">
      <c r="A22" s="6" t="inlineStr">
        <is>
          <t>TSK-000018</t>
        </is>
      </c>
      <c r="B22" s="6" t="inlineStr">
        <is>
          <t>PRJ-000003</t>
        </is>
      </c>
      <c r="C22" s="6" t="inlineStr">
        <is>
          <t>PHS-000010</t>
        </is>
      </c>
      <c r="D22" s="6" t="inlineStr">
        <is>
          <t>MLS-000009</t>
        </is>
      </c>
      <c r="E22" s="6" t="inlineStr">
        <is>
          <t>Configure core records</t>
        </is>
      </c>
      <c r="F22" s="6" t="inlineStr">
        <is>
          <t>completed</t>
        </is>
      </c>
      <c r="G22" s="6" t="inlineStr">
        <is>
          <t>ROL-000004</t>
        </is>
      </c>
      <c r="H22" s="7" t="n">
        <v>24</v>
      </c>
      <c r="I22" s="7" t="n">
        <v>28</v>
      </c>
      <c r="J22" s="6" t="inlineStr">
        <is>
          <t>TSK-000017</t>
        </is>
      </c>
      <c r="K22" s="6" t="inlineStr">
        <is>
          <t>2026-05-15</t>
        </is>
      </c>
      <c r="L22" s="6" t="inlineStr">
        <is>
          <t>2026-06-19</t>
        </is>
      </c>
      <c r="M22" s="6" t="inlineStr">
        <is>
          <t>2026-06-19T17:00:00Z</t>
        </is>
      </c>
      <c r="N22" s="7" t="b">
        <v>1</v>
      </c>
      <c r="O22" s="6" t="inlineStr">
        <is>
          <t>0.1.0</t>
        </is>
      </c>
      <c r="P22" s="14">
        <f>IF(tblTasks[[#This Row],[task_id]]="","",IF(tblTasks[[#This Row],[planned_due_date]]="","no_due_date",IF(tblTasks[[#This Row],[status]]="cancelled","cancelled",IF(tblTasks[[#This Row],[status]]="completed",IF(LEFT(tblTasks[[#This Row],[completed_at]],10)&lt;=tblTasks[[#This Row],[planned_due_date]],"completed_on_time","completed_late"),IF(tblTasks[[#This Row],[status]]="blocked","blocked",IF(tblTasks[[#This Row],[planned_due_date]]&lt;LEFT(calculation_as_of_at,10),"overdue","open_not_due"))))))</f>
        <v/>
      </c>
      <c r="Q22" s="14">
        <f>IF(tblTasks[[#This Row],[task_id]]="","",IF(tblTasks[[#This Row],[predecessor_task_ids]]="","no_predecessor",IF(SUMPRODUCT((tblTasks[task_id]&lt;&gt;"")*ISNUMBER(SEARCH(tblTasks[task_id],tblTasks[[#This Row],[predecessor_task_ids]])))=LEN(tblTasks[[#This Row],[predecessor_task_ids]])-LEN(SUBSTITUTE(tblTasks[[#This Row],[predecessor_task_ids]],";",""))+1,"valid","invalid")))</f>
        <v/>
      </c>
      <c r="R22" s="14">
        <f>IF(tblTasks[[#This Row],[task_id]]="","",IF(COUNTIF(tblProjects[project_id],tblTasks[[#This Row],[project_id]])=0,"orphan_project",IF(COUNTIFS(tblPhases[phase_id],tblTasks[[#This Row],[phase_id]],tblPhases[project_id],tblTasks[[#This Row],[project_id]])=0,"orphan_phase",IF(AND(tblTasks[[#This Row],[milestone_id]]&lt;&gt;"",COUNTIFS(tblMilestones[milestone_id],tblTasks[[#This Row],[milestone_id]],tblMilestones[project_id],tblTasks[[#This Row],[project_id]])=0),"orphan_milestone","valid"))))</f>
        <v/>
      </c>
      <c r="S22" s="14">
        <f>IF(tblTasks[[#This Row],[task_id]]="","",IF(tblTasks[[#This Row],[status]]="blocked",IF(COUNTIFS(tblEventLog[subject_id],tblTasks[[#This Row],[task_id]],tblEventLog[event_type],"task.status_changed")=0,"missing:task.status_changed","logged"),IF(AND(tblTasks[[#This Row],[status]]="completed",tblTasks[[#This Row],[completed_at]]&gt;=event_reconciliation_from_at,COUNTIFS(tblEventLog[subject_id],tblTasks[[#This Row],[task_id]],tblEventLog[event_type],"task.status_changed")=0),"missing:task.status_changed",IF(OR(AND(tblTasks[[#This Row],[status]]="completed",tblTasks[[#This Row],[completed_at]]&gt;=event_reconciliation_from_at)),"logged","not_required_or_before_window"))))</f>
        <v/>
      </c>
    </row>
    <row r="23">
      <c r="A23" s="6" t="inlineStr">
        <is>
          <t>TSK-000019</t>
        </is>
      </c>
      <c r="B23" s="6" t="inlineStr">
        <is>
          <t>PRJ-000003</t>
        </is>
      </c>
      <c r="C23" s="6" t="inlineStr">
        <is>
          <t>PHS-000010</t>
        </is>
      </c>
      <c r="D23" s="6" t="inlineStr">
        <is>
          <t>MLS-000009</t>
        </is>
      </c>
      <c r="E23" s="6" t="inlineStr">
        <is>
          <t>Build integrations</t>
        </is>
      </c>
      <c r="F23" s="6" t="inlineStr">
        <is>
          <t>completed</t>
        </is>
      </c>
      <c r="G23" s="6" t="inlineStr">
        <is>
          <t>ROL-000004</t>
        </is>
      </c>
      <c r="H23" s="7" t="n">
        <v>20</v>
      </c>
      <c r="I23" s="7" t="n">
        <v>26</v>
      </c>
      <c r="J23" s="6" t="inlineStr">
        <is>
          <t>TSK-000017</t>
        </is>
      </c>
      <c r="K23" s="6" t="inlineStr">
        <is>
          <t>2026-05-15</t>
        </is>
      </c>
      <c r="L23" s="6" t="inlineStr">
        <is>
          <t>2026-07-03</t>
        </is>
      </c>
      <c r="M23" s="6" t="inlineStr">
        <is>
          <t>2026-07-08T17:00:00Z</t>
        </is>
      </c>
      <c r="N23" s="7" t="b">
        <v>1</v>
      </c>
      <c r="O23" s="6" t="inlineStr">
        <is>
          <t>0.1.0</t>
        </is>
      </c>
      <c r="P23" s="14">
        <f>IF(tblTasks[[#This Row],[task_id]]="","",IF(tblTasks[[#This Row],[planned_due_date]]="","no_due_date",IF(tblTasks[[#This Row],[status]]="cancelled","cancelled",IF(tblTasks[[#This Row],[status]]="completed",IF(LEFT(tblTasks[[#This Row],[completed_at]],10)&lt;=tblTasks[[#This Row],[planned_due_date]],"completed_on_time","completed_late"),IF(tblTasks[[#This Row],[status]]="blocked","blocked",IF(tblTasks[[#This Row],[planned_due_date]]&lt;LEFT(calculation_as_of_at,10),"overdue","open_not_due"))))))</f>
        <v/>
      </c>
      <c r="Q23" s="14">
        <f>IF(tblTasks[[#This Row],[task_id]]="","",IF(tblTasks[[#This Row],[predecessor_task_ids]]="","no_predecessor",IF(SUMPRODUCT((tblTasks[task_id]&lt;&gt;"")*ISNUMBER(SEARCH(tblTasks[task_id],tblTasks[[#This Row],[predecessor_task_ids]])))=LEN(tblTasks[[#This Row],[predecessor_task_ids]])-LEN(SUBSTITUTE(tblTasks[[#This Row],[predecessor_task_ids]],";",""))+1,"valid","invalid")))</f>
        <v/>
      </c>
      <c r="R23" s="14">
        <f>IF(tblTasks[[#This Row],[task_id]]="","",IF(COUNTIF(tblProjects[project_id],tblTasks[[#This Row],[project_id]])=0,"orphan_project",IF(COUNTIFS(tblPhases[phase_id],tblTasks[[#This Row],[phase_id]],tblPhases[project_id],tblTasks[[#This Row],[project_id]])=0,"orphan_phase",IF(AND(tblTasks[[#This Row],[milestone_id]]&lt;&gt;"",COUNTIFS(tblMilestones[milestone_id],tblTasks[[#This Row],[milestone_id]],tblMilestones[project_id],tblTasks[[#This Row],[project_id]])=0),"orphan_milestone","valid"))))</f>
        <v/>
      </c>
      <c r="S23" s="14">
        <f>IF(tblTasks[[#This Row],[task_id]]="","",IF(tblTasks[[#This Row],[status]]="blocked",IF(COUNTIFS(tblEventLog[subject_id],tblTasks[[#This Row],[task_id]],tblEventLog[event_type],"task.status_changed")=0,"missing:task.status_changed","logged"),IF(AND(tblTasks[[#This Row],[status]]="completed",tblTasks[[#This Row],[completed_at]]&gt;=event_reconciliation_from_at,COUNTIFS(tblEventLog[subject_id],tblTasks[[#This Row],[task_id]],tblEventLog[event_type],"task.status_changed")=0),"missing:task.status_changed",IF(OR(AND(tblTasks[[#This Row],[status]]="completed",tblTasks[[#This Row],[completed_at]]&gt;=event_reconciliation_from_at)),"logged","not_required_or_before_window"))))</f>
        <v/>
      </c>
    </row>
    <row r="24">
      <c r="A24" s="6" t="inlineStr">
        <is>
          <t>TSK-000020</t>
        </is>
      </c>
      <c r="B24" s="6" t="inlineStr">
        <is>
          <t>PRJ-000003</t>
        </is>
      </c>
      <c r="C24" s="6" t="inlineStr">
        <is>
          <t>PHS-000011</t>
        </is>
      </c>
      <c r="D24" s="6" t="inlineStr">
        <is>
          <t>MLS-000010</t>
        </is>
      </c>
      <c r="E24" s="6" t="inlineStr">
        <is>
          <t>Run first acceptance test cycle</t>
        </is>
      </c>
      <c r="F24" s="6" t="inlineStr">
        <is>
          <t>completed</t>
        </is>
      </c>
      <c r="G24" s="6" t="inlineStr">
        <is>
          <t>ROL-000001</t>
        </is>
      </c>
      <c r="H24" s="7" t="n">
        <v>12</v>
      </c>
      <c r="I24" s="7" t="n">
        <v>14</v>
      </c>
      <c r="J24" s="6" t="inlineStr">
        <is>
          <t>TSK-000018;TSK-000019</t>
        </is>
      </c>
      <c r="K24" s="6" t="inlineStr">
        <is>
          <t>2026-07-10</t>
        </is>
      </c>
      <c r="L24" s="6" t="inlineStr">
        <is>
          <t>2026-07-24</t>
        </is>
      </c>
      <c r="M24" s="6" t="inlineStr">
        <is>
          <t>2026-07-29T17:00:00Z</t>
        </is>
      </c>
      <c r="N24" s="7" t="b">
        <v>1</v>
      </c>
      <c r="O24" s="6" t="inlineStr">
        <is>
          <t>0.1.0</t>
        </is>
      </c>
      <c r="P24" s="14">
        <f>IF(tblTasks[[#This Row],[task_id]]="","",IF(tblTasks[[#This Row],[planned_due_date]]="","no_due_date",IF(tblTasks[[#This Row],[status]]="cancelled","cancelled",IF(tblTasks[[#This Row],[status]]="completed",IF(LEFT(tblTasks[[#This Row],[completed_at]],10)&lt;=tblTasks[[#This Row],[planned_due_date]],"completed_on_time","completed_late"),IF(tblTasks[[#This Row],[status]]="blocked","blocked",IF(tblTasks[[#This Row],[planned_due_date]]&lt;LEFT(calculation_as_of_at,10),"overdue","open_not_due"))))))</f>
        <v/>
      </c>
      <c r="Q24" s="14">
        <f>IF(tblTasks[[#This Row],[task_id]]="","",IF(tblTasks[[#This Row],[predecessor_task_ids]]="","no_predecessor",IF(SUMPRODUCT((tblTasks[task_id]&lt;&gt;"")*ISNUMBER(SEARCH(tblTasks[task_id],tblTasks[[#This Row],[predecessor_task_ids]])))=LEN(tblTasks[[#This Row],[predecessor_task_ids]])-LEN(SUBSTITUTE(tblTasks[[#This Row],[predecessor_task_ids]],";",""))+1,"valid","invalid")))</f>
        <v/>
      </c>
      <c r="R24" s="14">
        <f>IF(tblTasks[[#This Row],[task_id]]="","",IF(COUNTIF(tblProjects[project_id],tblTasks[[#This Row],[project_id]])=0,"orphan_project",IF(COUNTIFS(tblPhases[phase_id],tblTasks[[#This Row],[phase_id]],tblPhases[project_id],tblTasks[[#This Row],[project_id]])=0,"orphan_phase",IF(AND(tblTasks[[#This Row],[milestone_id]]&lt;&gt;"",COUNTIFS(tblMilestones[milestone_id],tblTasks[[#This Row],[milestone_id]],tblMilestones[project_id],tblTasks[[#This Row],[project_id]])=0),"orphan_milestone","valid"))))</f>
        <v/>
      </c>
      <c r="S24" s="14">
        <f>IF(tblTasks[[#This Row],[task_id]]="","",IF(tblTasks[[#This Row],[status]]="blocked",IF(COUNTIFS(tblEventLog[subject_id],tblTasks[[#This Row],[task_id]],tblEventLog[event_type],"task.status_changed")=0,"missing:task.status_changed","logged"),IF(AND(tblTasks[[#This Row],[status]]="completed",tblTasks[[#This Row],[completed_at]]&gt;=event_reconciliation_from_at,COUNTIFS(tblEventLog[subject_id],tblTasks[[#This Row],[task_id]],tblEventLog[event_type],"task.status_changed")=0),"missing:task.status_changed",IF(OR(AND(tblTasks[[#This Row],[status]]="completed",tblTasks[[#This Row],[completed_at]]&gt;=event_reconciliation_from_at)),"logged","not_required_or_before_window"))))</f>
        <v/>
      </c>
    </row>
    <row r="25">
      <c r="A25" s="6" t="inlineStr">
        <is>
          <t>TSK-000021</t>
        </is>
      </c>
      <c r="B25" s="6" t="inlineStr">
        <is>
          <t>PRJ-000003</t>
        </is>
      </c>
      <c r="C25" s="6" t="inlineStr">
        <is>
          <t>PHS-000012</t>
        </is>
      </c>
      <c r="D25" s="6" t="inlineStr">
        <is>
          <t>MLS-000009</t>
        </is>
      </c>
      <c r="E25" s="6" t="inlineStr">
        <is>
          <t>Fix defects from the first test cycle</t>
        </is>
      </c>
      <c r="F25" s="6" t="inlineStr">
        <is>
          <t>completed</t>
        </is>
      </c>
      <c r="G25" s="6" t="inlineStr">
        <is>
          <t>ROL-000004</t>
        </is>
      </c>
      <c r="H25" s="7" t="n">
        <v>16</v>
      </c>
      <c r="I25" s="7" t="n">
        <v>18</v>
      </c>
      <c r="J25" s="6" t="inlineStr">
        <is>
          <t>TSK-000020</t>
        </is>
      </c>
      <c r="K25" s="6" t="inlineStr">
        <is>
          <t>2026-07-31</t>
        </is>
      </c>
      <c r="L25" s="6" t="inlineStr">
        <is>
          <t>2026-08-19</t>
        </is>
      </c>
      <c r="M25" s="6" t="inlineStr">
        <is>
          <t>2026-08-20T17:00:00Z</t>
        </is>
      </c>
      <c r="N25" s="7" t="b">
        <v>1</v>
      </c>
      <c r="O25" s="6" t="inlineStr">
        <is>
          <t>0.1.0</t>
        </is>
      </c>
      <c r="P25" s="14">
        <f>IF(tblTasks[[#This Row],[task_id]]="","",IF(tblTasks[[#This Row],[planned_due_date]]="","no_due_date",IF(tblTasks[[#This Row],[status]]="cancelled","cancelled",IF(tblTasks[[#This Row],[status]]="completed",IF(LEFT(tblTasks[[#This Row],[completed_at]],10)&lt;=tblTasks[[#This Row],[planned_due_date]],"completed_on_time","completed_late"),IF(tblTasks[[#This Row],[status]]="blocked","blocked",IF(tblTasks[[#This Row],[planned_due_date]]&lt;LEFT(calculation_as_of_at,10),"overdue","open_not_due"))))))</f>
        <v/>
      </c>
      <c r="Q25" s="14">
        <f>IF(tblTasks[[#This Row],[task_id]]="","",IF(tblTasks[[#This Row],[predecessor_task_ids]]="","no_predecessor",IF(SUMPRODUCT((tblTasks[task_id]&lt;&gt;"")*ISNUMBER(SEARCH(tblTasks[task_id],tblTasks[[#This Row],[predecessor_task_ids]])))=LEN(tblTasks[[#This Row],[predecessor_task_ids]])-LEN(SUBSTITUTE(tblTasks[[#This Row],[predecessor_task_ids]],";",""))+1,"valid","invalid")))</f>
        <v/>
      </c>
      <c r="R25" s="14">
        <f>IF(tblTasks[[#This Row],[task_id]]="","",IF(COUNTIF(tblProjects[project_id],tblTasks[[#This Row],[project_id]])=0,"orphan_project",IF(COUNTIFS(tblPhases[phase_id],tblTasks[[#This Row],[phase_id]],tblPhases[project_id],tblTasks[[#This Row],[project_id]])=0,"orphan_phase",IF(AND(tblTasks[[#This Row],[milestone_id]]&lt;&gt;"",COUNTIFS(tblMilestones[milestone_id],tblTasks[[#This Row],[milestone_id]],tblMilestones[project_id],tblTasks[[#This Row],[project_id]])=0),"orphan_milestone","valid"))))</f>
        <v/>
      </c>
      <c r="S25" s="14">
        <f>IF(tblTasks[[#This Row],[task_id]]="","",IF(tblTasks[[#This Row],[status]]="blocked",IF(COUNTIFS(tblEventLog[subject_id],tblTasks[[#This Row],[task_id]],tblEventLog[event_type],"task.status_changed")=0,"missing:task.status_changed","logged"),IF(AND(tblTasks[[#This Row],[status]]="completed",tblTasks[[#This Row],[completed_at]]&gt;=event_reconciliation_from_at,COUNTIFS(tblEventLog[subject_id],tblTasks[[#This Row],[task_id]],tblEventLog[event_type],"task.status_changed")=0),"missing:task.status_changed",IF(OR(AND(tblTasks[[#This Row],[status]]="completed",tblTasks[[#This Row],[completed_at]]&gt;=event_reconciliation_from_at)),"logged","not_required_or_before_window"))))</f>
        <v/>
      </c>
    </row>
    <row r="26">
      <c r="A26" s="6" t="inlineStr">
        <is>
          <t>TSK-000022</t>
        </is>
      </c>
      <c r="B26" s="6" t="inlineStr">
        <is>
          <t>PRJ-000003</t>
        </is>
      </c>
      <c r="C26" s="6" t="inlineStr">
        <is>
          <t>PHS-000013</t>
        </is>
      </c>
      <c r="D26" s="6" t="inlineStr">
        <is>
          <t>MLS-000010</t>
        </is>
      </c>
      <c r="E26" s="6" t="inlineStr">
        <is>
          <t>Run second acceptance test cycle</t>
        </is>
      </c>
      <c r="F26" s="6" t="inlineStr">
        <is>
          <t>completed</t>
        </is>
      </c>
      <c r="G26" s="6" t="inlineStr">
        <is>
          <t>ROL-000001</t>
        </is>
      </c>
      <c r="H26" s="7" t="n">
        <v>10</v>
      </c>
      <c r="I26" s="7" t="n">
        <v>9</v>
      </c>
      <c r="J26" s="6" t="inlineStr">
        <is>
          <t>TSK-000021</t>
        </is>
      </c>
      <c r="K26" s="6" t="inlineStr">
        <is>
          <t>2026-08-21</t>
        </is>
      </c>
      <c r="L26" s="6" t="inlineStr">
        <is>
          <t>2026-09-09</t>
        </is>
      </c>
      <c r="M26" s="6" t="inlineStr">
        <is>
          <t>2026-09-10T17:00:00Z</t>
        </is>
      </c>
      <c r="N26" s="7" t="b">
        <v>1</v>
      </c>
      <c r="O26" s="6" t="inlineStr">
        <is>
          <t>0.1.0</t>
        </is>
      </c>
      <c r="P26" s="14">
        <f>IF(tblTasks[[#This Row],[task_id]]="","",IF(tblTasks[[#This Row],[planned_due_date]]="","no_due_date",IF(tblTasks[[#This Row],[status]]="cancelled","cancelled",IF(tblTasks[[#This Row],[status]]="completed",IF(LEFT(tblTasks[[#This Row],[completed_at]],10)&lt;=tblTasks[[#This Row],[planned_due_date]],"completed_on_time","completed_late"),IF(tblTasks[[#This Row],[status]]="blocked","blocked",IF(tblTasks[[#This Row],[planned_due_date]]&lt;LEFT(calculation_as_of_at,10),"overdue","open_not_due"))))))</f>
        <v/>
      </c>
      <c r="Q26" s="14">
        <f>IF(tblTasks[[#This Row],[task_id]]="","",IF(tblTasks[[#This Row],[predecessor_task_ids]]="","no_predecessor",IF(SUMPRODUCT((tblTasks[task_id]&lt;&gt;"")*ISNUMBER(SEARCH(tblTasks[task_id],tblTasks[[#This Row],[predecessor_task_ids]])))=LEN(tblTasks[[#This Row],[predecessor_task_ids]])-LEN(SUBSTITUTE(tblTasks[[#This Row],[predecessor_task_ids]],";",""))+1,"valid","invalid")))</f>
        <v/>
      </c>
      <c r="R26" s="14">
        <f>IF(tblTasks[[#This Row],[task_id]]="","",IF(COUNTIF(tblProjects[project_id],tblTasks[[#This Row],[project_id]])=0,"orphan_project",IF(COUNTIFS(tblPhases[phase_id],tblTasks[[#This Row],[phase_id]],tblPhases[project_id],tblTasks[[#This Row],[project_id]])=0,"orphan_phase",IF(AND(tblTasks[[#This Row],[milestone_id]]&lt;&gt;"",COUNTIFS(tblMilestones[milestone_id],tblTasks[[#This Row],[milestone_id]],tblMilestones[project_id],tblTasks[[#This Row],[project_id]])=0),"orphan_milestone","valid"))))</f>
        <v/>
      </c>
      <c r="S26" s="14">
        <f>IF(tblTasks[[#This Row],[task_id]]="","",IF(tblTasks[[#This Row],[status]]="blocked",IF(COUNTIFS(tblEventLog[subject_id],tblTasks[[#This Row],[task_id]],tblEventLog[event_type],"task.status_changed")=0,"missing:task.status_changed","logged"),IF(AND(tblTasks[[#This Row],[status]]="completed",tblTasks[[#This Row],[completed_at]]&gt;=event_reconciliation_from_at,COUNTIFS(tblEventLog[subject_id],tblTasks[[#This Row],[task_id]],tblEventLog[event_type],"task.status_changed")=0),"missing:task.status_changed",IF(OR(AND(tblTasks[[#This Row],[status]]="completed",tblTasks[[#This Row],[completed_at]]&gt;=event_reconciliation_from_at)),"logged","not_required_or_before_window"))))</f>
        <v/>
      </c>
    </row>
    <row r="27">
      <c r="A27" s="6" t="inlineStr">
        <is>
          <t>TSK-000023</t>
        </is>
      </c>
      <c r="B27" s="6" t="inlineStr">
        <is>
          <t>PRJ-000003</t>
        </is>
      </c>
      <c r="C27" s="6" t="inlineStr">
        <is>
          <t>PHS-000014</t>
        </is>
      </c>
      <c r="D27" s="6" t="inlineStr">
        <is>
          <t>MLS-000011</t>
        </is>
      </c>
      <c r="E27" s="6" t="inlineStr">
        <is>
          <t>Train customer administrators</t>
        </is>
      </c>
      <c r="F27" s="6" t="inlineStr">
        <is>
          <t>completed</t>
        </is>
      </c>
      <c r="G27" s="6" t="inlineStr">
        <is>
          <t>ROL-000005</t>
        </is>
      </c>
      <c r="H27" s="7" t="n">
        <v>8</v>
      </c>
      <c r="I27" s="7" t="n">
        <v>8</v>
      </c>
      <c r="J27" s="6" t="inlineStr">
        <is>
          <t>TSK-000022</t>
        </is>
      </c>
      <c r="K27" s="6" t="inlineStr">
        <is>
          <t>2026-09-14</t>
        </is>
      </c>
      <c r="L27" s="6" t="inlineStr">
        <is>
          <t>2026-09-22</t>
        </is>
      </c>
      <c r="M27" s="6" t="inlineStr">
        <is>
          <t>2026-09-22T19:00:00Z</t>
        </is>
      </c>
      <c r="N27" s="7" t="b">
        <v>1</v>
      </c>
      <c r="O27" s="6" t="inlineStr">
        <is>
          <t>0.1.0</t>
        </is>
      </c>
      <c r="P27" s="14">
        <f>IF(tblTasks[[#This Row],[task_id]]="","",IF(tblTasks[[#This Row],[planned_due_date]]="","no_due_date",IF(tblTasks[[#This Row],[status]]="cancelled","cancelled",IF(tblTasks[[#This Row],[status]]="completed",IF(LEFT(tblTasks[[#This Row],[completed_at]],10)&lt;=tblTasks[[#This Row],[planned_due_date]],"completed_on_time","completed_late"),IF(tblTasks[[#This Row],[status]]="blocked","blocked",IF(tblTasks[[#This Row],[planned_due_date]]&lt;LEFT(calculation_as_of_at,10),"overdue","open_not_due"))))))</f>
        <v/>
      </c>
      <c r="Q27" s="14">
        <f>IF(tblTasks[[#This Row],[task_id]]="","",IF(tblTasks[[#This Row],[predecessor_task_ids]]="","no_predecessor",IF(SUMPRODUCT((tblTasks[task_id]&lt;&gt;"")*ISNUMBER(SEARCH(tblTasks[task_id],tblTasks[[#This Row],[predecessor_task_ids]])))=LEN(tblTasks[[#This Row],[predecessor_task_ids]])-LEN(SUBSTITUTE(tblTasks[[#This Row],[predecessor_task_ids]],";",""))+1,"valid","invalid")))</f>
        <v/>
      </c>
      <c r="R27" s="14">
        <f>IF(tblTasks[[#This Row],[task_id]]="","",IF(COUNTIF(tblProjects[project_id],tblTasks[[#This Row],[project_id]])=0,"orphan_project",IF(COUNTIFS(tblPhases[phase_id],tblTasks[[#This Row],[phase_id]],tblPhases[project_id],tblTasks[[#This Row],[project_id]])=0,"orphan_phase",IF(AND(tblTasks[[#This Row],[milestone_id]]&lt;&gt;"",COUNTIFS(tblMilestones[milestone_id],tblTasks[[#This Row],[milestone_id]],tblMilestones[project_id],tblTasks[[#This Row],[project_id]])=0),"orphan_milestone","valid"))))</f>
        <v/>
      </c>
      <c r="S27" s="14">
        <f>IF(tblTasks[[#This Row],[task_id]]="","",IF(tblTasks[[#This Row],[status]]="blocked",IF(COUNTIFS(tblEventLog[subject_id],tblTasks[[#This Row],[task_id]],tblEventLog[event_type],"task.status_changed")=0,"missing:task.status_changed","logged"),IF(AND(tblTasks[[#This Row],[status]]="completed",tblTasks[[#This Row],[completed_at]]&gt;=event_reconciliation_from_at,COUNTIFS(tblEventLog[subject_id],tblTasks[[#This Row],[task_id]],tblEventLog[event_type],"task.status_changed")=0),"missing:task.status_changed",IF(OR(AND(tblTasks[[#This Row],[status]]="completed",tblTasks[[#This Row],[completed_at]]&gt;=event_reconciliation_from_at)),"logged","not_required_or_before_window"))))</f>
        <v/>
      </c>
    </row>
    <row r="28">
      <c r="A28" s="6" t="inlineStr">
        <is>
          <t>TSK-000024</t>
        </is>
      </c>
      <c r="B28" s="6" t="inlineStr">
        <is>
          <t>PRJ-000003</t>
        </is>
      </c>
      <c r="C28" s="6" t="inlineStr">
        <is>
          <t>PHS-000014</t>
        </is>
      </c>
      <c r="D28" s="6" t="inlineStr">
        <is>
          <t>MLS-000011</t>
        </is>
      </c>
      <c r="E28" s="6" t="inlineStr">
        <is>
          <t>Train end users</t>
        </is>
      </c>
      <c r="F28" s="6" t="inlineStr">
        <is>
          <t>completed</t>
        </is>
      </c>
      <c r="G28" s="6" t="inlineStr">
        <is>
          <t>ROL-000005</t>
        </is>
      </c>
      <c r="H28" s="7" t="n">
        <v>12</v>
      </c>
      <c r="I28" s="7" t="n">
        <v>13</v>
      </c>
      <c r="J28" s="6" t="inlineStr">
        <is>
          <t>TSK-000023</t>
        </is>
      </c>
      <c r="K28" s="6" t="inlineStr">
        <is>
          <t>2026-09-22</t>
        </is>
      </c>
      <c r="L28" s="6" t="inlineStr">
        <is>
          <t>2026-09-26</t>
        </is>
      </c>
      <c r="M28" s="6" t="inlineStr">
        <is>
          <t>2026-09-29T19:00:00Z</t>
        </is>
      </c>
      <c r="N28" s="7" t="b">
        <v>1</v>
      </c>
      <c r="O28" s="6" t="inlineStr">
        <is>
          <t>0.1.0</t>
        </is>
      </c>
      <c r="P28" s="14">
        <f>IF(tblTasks[[#This Row],[task_id]]="","",IF(tblTasks[[#This Row],[planned_due_date]]="","no_due_date",IF(tblTasks[[#This Row],[status]]="cancelled","cancelled",IF(tblTasks[[#This Row],[status]]="completed",IF(LEFT(tblTasks[[#This Row],[completed_at]],10)&lt;=tblTasks[[#This Row],[planned_due_date]],"completed_on_time","completed_late"),IF(tblTasks[[#This Row],[status]]="blocked","blocked",IF(tblTasks[[#This Row],[planned_due_date]]&lt;LEFT(calculation_as_of_at,10),"overdue","open_not_due"))))))</f>
        <v/>
      </c>
      <c r="Q28" s="14">
        <f>IF(tblTasks[[#This Row],[task_id]]="","",IF(tblTasks[[#This Row],[predecessor_task_ids]]="","no_predecessor",IF(SUMPRODUCT((tblTasks[task_id]&lt;&gt;"")*ISNUMBER(SEARCH(tblTasks[task_id],tblTasks[[#This Row],[predecessor_task_ids]])))=LEN(tblTasks[[#This Row],[predecessor_task_ids]])-LEN(SUBSTITUTE(tblTasks[[#This Row],[predecessor_task_ids]],";",""))+1,"valid","invalid")))</f>
        <v/>
      </c>
      <c r="R28" s="14">
        <f>IF(tblTasks[[#This Row],[task_id]]="","",IF(COUNTIF(tblProjects[project_id],tblTasks[[#This Row],[project_id]])=0,"orphan_project",IF(COUNTIFS(tblPhases[phase_id],tblTasks[[#This Row],[phase_id]],tblPhases[project_id],tblTasks[[#This Row],[project_id]])=0,"orphan_phase",IF(AND(tblTasks[[#This Row],[milestone_id]]&lt;&gt;"",COUNTIFS(tblMilestones[milestone_id],tblTasks[[#This Row],[milestone_id]],tblMilestones[project_id],tblTasks[[#This Row],[project_id]])=0),"orphan_milestone","valid"))))</f>
        <v/>
      </c>
      <c r="S28" s="14">
        <f>IF(tblTasks[[#This Row],[task_id]]="","",IF(tblTasks[[#This Row],[status]]="blocked",IF(COUNTIFS(tblEventLog[subject_id],tblTasks[[#This Row],[task_id]],tblEventLog[event_type],"task.status_changed")=0,"missing:task.status_changed","logged"),IF(AND(tblTasks[[#This Row],[status]]="completed",tblTasks[[#This Row],[completed_at]]&gt;=event_reconciliation_from_at,COUNTIFS(tblEventLog[subject_id],tblTasks[[#This Row],[task_id]],tblEventLog[event_type],"task.status_changed")=0),"missing:task.status_changed",IF(OR(AND(tblTasks[[#This Row],[status]]="completed",tblTasks[[#This Row],[completed_at]]&gt;=event_reconciliation_from_at)),"logged","not_required_or_before_window"))))</f>
        <v/>
      </c>
    </row>
    <row r="29">
      <c r="A29" s="6" t="inlineStr">
        <is>
          <t>TSK-000025</t>
        </is>
      </c>
      <c r="B29" s="6" t="inlineStr">
        <is>
          <t>PRJ-000003</t>
        </is>
      </c>
      <c r="C29" s="6" t="inlineStr">
        <is>
          <t>PHS-000014</t>
        </is>
      </c>
      <c r="D29" s="6" t="inlineStr">
        <is>
          <t>MLS-000012</t>
        </is>
      </c>
      <c r="E29" s="6" t="inlineStr">
        <is>
          <t>Publish support runbook</t>
        </is>
      </c>
      <c r="F29" s="6" t="inlineStr">
        <is>
          <t>completed</t>
        </is>
      </c>
      <c r="G29" s="6" t="inlineStr">
        <is>
          <t>ROL-000006</t>
        </is>
      </c>
      <c r="H29" s="7" t="n">
        <v>6</v>
      </c>
      <c r="I29" s="7" t="n">
        <v>6</v>
      </c>
      <c r="J29" s="6" t="inlineStr">
        <is>
          <t>TSK-000022</t>
        </is>
      </c>
      <c r="K29" s="6" t="inlineStr">
        <is>
          <t>2026-09-14</t>
        </is>
      </c>
      <c r="L29" s="6" t="inlineStr">
        <is>
          <t>2026-09-25</t>
        </is>
      </c>
      <c r="M29" s="6" t="inlineStr">
        <is>
          <t>2026-09-25T17:00:00Z</t>
        </is>
      </c>
      <c r="N29" s="7" t="b">
        <v>0</v>
      </c>
      <c r="O29" s="6" t="inlineStr">
        <is>
          <t>0.1.0</t>
        </is>
      </c>
      <c r="P29" s="14">
        <f>IF(tblTasks[[#This Row],[task_id]]="","",IF(tblTasks[[#This Row],[planned_due_date]]="","no_due_date",IF(tblTasks[[#This Row],[status]]="cancelled","cancelled",IF(tblTasks[[#This Row],[status]]="completed",IF(LEFT(tblTasks[[#This Row],[completed_at]],10)&lt;=tblTasks[[#This Row],[planned_due_date]],"completed_on_time","completed_late"),IF(tblTasks[[#This Row],[status]]="blocked","blocked",IF(tblTasks[[#This Row],[planned_due_date]]&lt;LEFT(calculation_as_of_at,10),"overdue","open_not_due"))))))</f>
        <v/>
      </c>
      <c r="Q29" s="14">
        <f>IF(tblTasks[[#This Row],[task_id]]="","",IF(tblTasks[[#This Row],[predecessor_task_ids]]="","no_predecessor",IF(SUMPRODUCT((tblTasks[task_id]&lt;&gt;"")*ISNUMBER(SEARCH(tblTasks[task_id],tblTasks[[#This Row],[predecessor_task_ids]])))=LEN(tblTasks[[#This Row],[predecessor_task_ids]])-LEN(SUBSTITUTE(tblTasks[[#This Row],[predecessor_task_ids]],";",""))+1,"valid","invalid")))</f>
        <v/>
      </c>
      <c r="R29" s="14">
        <f>IF(tblTasks[[#This Row],[task_id]]="","",IF(COUNTIF(tblProjects[project_id],tblTasks[[#This Row],[project_id]])=0,"orphan_project",IF(COUNTIFS(tblPhases[phase_id],tblTasks[[#This Row],[phase_id]],tblPhases[project_id],tblTasks[[#This Row],[project_id]])=0,"orphan_phase",IF(AND(tblTasks[[#This Row],[milestone_id]]&lt;&gt;"",COUNTIFS(tblMilestones[milestone_id],tblTasks[[#This Row],[milestone_id]],tblMilestones[project_id],tblTasks[[#This Row],[project_id]])=0),"orphan_milestone","valid"))))</f>
        <v/>
      </c>
      <c r="S29" s="14">
        <f>IF(tblTasks[[#This Row],[task_id]]="","",IF(tblTasks[[#This Row],[status]]="blocked",IF(COUNTIFS(tblEventLog[subject_id],tblTasks[[#This Row],[task_id]],tblEventLog[event_type],"task.status_changed")=0,"missing:task.status_changed","logged"),IF(AND(tblTasks[[#This Row],[status]]="completed",tblTasks[[#This Row],[completed_at]]&gt;=event_reconciliation_from_at,COUNTIFS(tblEventLog[subject_id],tblTasks[[#This Row],[task_id]],tblEventLog[event_type],"task.status_changed")=0),"missing:task.status_changed",IF(OR(AND(tblTasks[[#This Row],[status]]="completed",tblTasks[[#This Row],[completed_at]]&gt;=event_reconciliation_from_at)),"logged","not_required_or_before_window"))))</f>
        <v/>
      </c>
    </row>
    <row r="30">
      <c r="A30" s="6" t="inlineStr">
        <is>
          <t>TSK-000026</t>
        </is>
      </c>
      <c r="B30" s="6" t="inlineStr">
        <is>
          <t>PRJ-000003</t>
        </is>
      </c>
      <c r="C30" s="6" t="inlineStr">
        <is>
          <t>PHS-000015</t>
        </is>
      </c>
      <c r="D30" s="6" t="inlineStr">
        <is>
          <t>MLS-000012</t>
        </is>
      </c>
      <c r="E30" s="6" t="inlineStr">
        <is>
          <t>Validate final data load plan</t>
        </is>
      </c>
      <c r="F30" s="6" t="inlineStr">
        <is>
          <t>completed</t>
        </is>
      </c>
      <c r="G30" s="6" t="inlineStr">
        <is>
          <t>ROL-000004</t>
        </is>
      </c>
      <c r="H30" s="7" t="n">
        <v>8</v>
      </c>
      <c r="I30" s="7" t="n">
        <v>8</v>
      </c>
      <c r="J30" s="6" t="inlineStr">
        <is>
          <t>TSK-000022</t>
        </is>
      </c>
      <c r="K30" s="6" t="inlineStr">
        <is>
          <t>2026-09-30</t>
        </is>
      </c>
      <c r="L30" s="6" t="inlineStr">
        <is>
          <t>2026-10-01</t>
        </is>
      </c>
      <c r="M30" s="6" t="inlineStr">
        <is>
          <t>2026-10-01T16:00:00Z</t>
        </is>
      </c>
      <c r="N30" s="7" t="b">
        <v>1</v>
      </c>
      <c r="O30" s="6" t="inlineStr">
        <is>
          <t>0.1.0</t>
        </is>
      </c>
      <c r="P30" s="14">
        <f>IF(tblTasks[[#This Row],[task_id]]="","",IF(tblTasks[[#This Row],[planned_due_date]]="","no_due_date",IF(tblTasks[[#This Row],[status]]="cancelled","cancelled",IF(tblTasks[[#This Row],[status]]="completed",IF(LEFT(tblTasks[[#This Row],[completed_at]],10)&lt;=tblTasks[[#This Row],[planned_due_date]],"completed_on_time","completed_late"),IF(tblTasks[[#This Row],[status]]="blocked","blocked",IF(tblTasks[[#This Row],[planned_due_date]]&lt;LEFT(calculation_as_of_at,10),"overdue","open_not_due"))))))</f>
        <v/>
      </c>
      <c r="Q30" s="14">
        <f>IF(tblTasks[[#This Row],[task_id]]="","",IF(tblTasks[[#This Row],[predecessor_task_ids]]="","no_predecessor",IF(SUMPRODUCT((tblTasks[task_id]&lt;&gt;"")*ISNUMBER(SEARCH(tblTasks[task_id],tblTasks[[#This Row],[predecessor_task_ids]])))=LEN(tblTasks[[#This Row],[predecessor_task_ids]])-LEN(SUBSTITUTE(tblTasks[[#This Row],[predecessor_task_ids]],";",""))+1,"valid","invalid")))</f>
        <v/>
      </c>
      <c r="R30" s="14">
        <f>IF(tblTasks[[#This Row],[task_id]]="","",IF(COUNTIF(tblProjects[project_id],tblTasks[[#This Row],[project_id]])=0,"orphan_project",IF(COUNTIFS(tblPhases[phase_id],tblTasks[[#This Row],[phase_id]],tblPhases[project_id],tblTasks[[#This Row],[project_id]])=0,"orphan_phase",IF(AND(tblTasks[[#This Row],[milestone_id]]&lt;&gt;"",COUNTIFS(tblMilestones[milestone_id],tblTasks[[#This Row],[milestone_id]],tblMilestones[project_id],tblTasks[[#This Row],[project_id]])=0),"orphan_milestone","valid"))))</f>
        <v/>
      </c>
      <c r="S30" s="14">
        <f>IF(tblTasks[[#This Row],[task_id]]="","",IF(tblTasks[[#This Row],[status]]="blocked",IF(COUNTIFS(tblEventLog[subject_id],tblTasks[[#This Row],[task_id]],tblEventLog[event_type],"task.status_changed")=0,"missing:task.status_changed","logged"),IF(AND(tblTasks[[#This Row],[status]]="completed",tblTasks[[#This Row],[completed_at]]&gt;=event_reconciliation_from_at,COUNTIFS(tblEventLog[subject_id],tblTasks[[#This Row],[task_id]],tblEventLog[event_type],"task.status_changed")=0),"missing:task.status_changed",IF(OR(AND(tblTasks[[#This Row],[status]]="completed",tblTasks[[#This Row],[completed_at]]&gt;=event_reconciliation_from_at)),"logged","not_required_or_before_window"))))</f>
        <v/>
      </c>
    </row>
    <row r="31">
      <c r="A31" s="6" t="inlineStr">
        <is>
          <t>TSK-000027</t>
        </is>
      </c>
      <c r="B31" s="6" t="inlineStr">
        <is>
          <t>PRJ-000003</t>
        </is>
      </c>
      <c r="C31" s="6" t="inlineStr">
        <is>
          <t>PHS-000015</t>
        </is>
      </c>
      <c r="D31" s="6" t="inlineStr">
        <is>
          <t>MLS-000012</t>
        </is>
      </c>
      <c r="E31" s="6" t="inlineStr">
        <is>
          <t>Confirm support coverage for launch week</t>
        </is>
      </c>
      <c r="F31" s="6" t="inlineStr">
        <is>
          <t>completed</t>
        </is>
      </c>
      <c r="G31" s="6" t="inlineStr">
        <is>
          <t>ROL-000006</t>
        </is>
      </c>
      <c r="H31" s="7" t="n">
        <v>3</v>
      </c>
      <c r="I31" s="7" t="n">
        <v>3</v>
      </c>
      <c r="J31" s="6" t="inlineStr">
        <is>
          <t>TSK-000025</t>
        </is>
      </c>
      <c r="K31" s="6" t="inlineStr">
        <is>
          <t>2026-09-30</t>
        </is>
      </c>
      <c r="L31" s="6" t="inlineStr">
        <is>
          <t>2026-10-01</t>
        </is>
      </c>
      <c r="M31" s="6" t="inlineStr">
        <is>
          <t>2026-10-01T17:00:00Z</t>
        </is>
      </c>
      <c r="N31" s="7" t="b">
        <v>1</v>
      </c>
      <c r="O31" s="6" t="inlineStr">
        <is>
          <t>0.1.0</t>
        </is>
      </c>
      <c r="P31" s="14">
        <f>IF(tblTasks[[#This Row],[task_id]]="","",IF(tblTasks[[#This Row],[planned_due_date]]="","no_due_date",IF(tblTasks[[#This Row],[status]]="cancelled","cancelled",IF(tblTasks[[#This Row],[status]]="completed",IF(LEFT(tblTasks[[#This Row],[completed_at]],10)&lt;=tblTasks[[#This Row],[planned_due_date]],"completed_on_time","completed_late"),IF(tblTasks[[#This Row],[status]]="blocked","blocked",IF(tblTasks[[#This Row],[planned_due_date]]&lt;LEFT(calculation_as_of_at,10),"overdue","open_not_due"))))))</f>
        <v/>
      </c>
      <c r="Q31" s="14">
        <f>IF(tblTasks[[#This Row],[task_id]]="","",IF(tblTasks[[#This Row],[predecessor_task_ids]]="","no_predecessor",IF(SUMPRODUCT((tblTasks[task_id]&lt;&gt;"")*ISNUMBER(SEARCH(tblTasks[task_id],tblTasks[[#This Row],[predecessor_task_ids]])))=LEN(tblTasks[[#This Row],[predecessor_task_ids]])-LEN(SUBSTITUTE(tblTasks[[#This Row],[predecessor_task_ids]],";",""))+1,"valid","invalid")))</f>
        <v/>
      </c>
      <c r="R31" s="14">
        <f>IF(tblTasks[[#This Row],[task_id]]="","",IF(COUNTIF(tblProjects[project_id],tblTasks[[#This Row],[project_id]])=0,"orphan_project",IF(COUNTIFS(tblPhases[phase_id],tblTasks[[#This Row],[phase_id]],tblPhases[project_id],tblTasks[[#This Row],[project_id]])=0,"orphan_phase",IF(AND(tblTasks[[#This Row],[milestone_id]]&lt;&gt;"",COUNTIFS(tblMilestones[milestone_id],tblTasks[[#This Row],[milestone_id]],tblMilestones[project_id],tblTasks[[#This Row],[project_id]])=0),"orphan_milestone","valid"))))</f>
        <v/>
      </c>
      <c r="S31" s="14">
        <f>IF(tblTasks[[#This Row],[task_id]]="","",IF(tblTasks[[#This Row],[status]]="blocked",IF(COUNTIFS(tblEventLog[subject_id],tblTasks[[#This Row],[task_id]],tblEventLog[event_type],"task.status_changed")=0,"missing:task.status_changed","logged"),IF(AND(tblTasks[[#This Row],[status]]="completed",tblTasks[[#This Row],[completed_at]]&gt;=event_reconciliation_from_at,COUNTIFS(tblEventLog[subject_id],tblTasks[[#This Row],[task_id]],tblEventLog[event_type],"task.status_changed")=0),"missing:task.status_changed",IF(OR(AND(tblTasks[[#This Row],[status]]="completed",tblTasks[[#This Row],[completed_at]]&gt;=event_reconciliation_from_at)),"logged","not_required_or_before_window"))))</f>
        <v/>
      </c>
    </row>
    <row r="32">
      <c r="A32" s="6" t="inlineStr">
        <is>
          <t>TSK-000028</t>
        </is>
      </c>
      <c r="B32" s="6" t="inlineStr">
        <is>
          <t>PRJ-000003</t>
        </is>
      </c>
      <c r="C32" s="6" t="inlineStr">
        <is>
          <t>PHS-000015</t>
        </is>
      </c>
      <c r="D32" s="6" t="inlineStr">
        <is>
          <t>MLS-000012</t>
        </is>
      </c>
      <c r="E32" s="6" t="inlineStr">
        <is>
          <t>Prepare launch readiness review</t>
        </is>
      </c>
      <c r="F32" s="6" t="inlineStr">
        <is>
          <t>completed</t>
        </is>
      </c>
      <c r="G32" s="6" t="inlineStr">
        <is>
          <t>ROL-000001</t>
        </is>
      </c>
      <c r="H32" s="7" t="n">
        <v>4</v>
      </c>
      <c r="I32" s="7" t="n">
        <v>4</v>
      </c>
      <c r="J32" s="6" t="inlineStr">
        <is>
          <t>TSK-000024;TSK-000025</t>
        </is>
      </c>
      <c r="K32" s="6" t="inlineStr">
        <is>
          <t>2026-09-30</t>
        </is>
      </c>
      <c r="L32" s="6" t="inlineStr">
        <is>
          <t>2026-10-02</t>
        </is>
      </c>
      <c r="M32" s="6" t="inlineStr">
        <is>
          <t>2026-10-02T14:00:00Z</t>
        </is>
      </c>
      <c r="N32" s="7" t="b">
        <v>1</v>
      </c>
      <c r="O32" s="6" t="inlineStr">
        <is>
          <t>0.1.0</t>
        </is>
      </c>
      <c r="P32" s="14">
        <f>IF(tblTasks[[#This Row],[task_id]]="","",IF(tblTasks[[#This Row],[planned_due_date]]="","no_due_date",IF(tblTasks[[#This Row],[status]]="cancelled","cancelled",IF(tblTasks[[#This Row],[status]]="completed",IF(LEFT(tblTasks[[#This Row],[completed_at]],10)&lt;=tblTasks[[#This Row],[planned_due_date]],"completed_on_time","completed_late"),IF(tblTasks[[#This Row],[status]]="blocked","blocked",IF(tblTasks[[#This Row],[planned_due_date]]&lt;LEFT(calculation_as_of_at,10),"overdue","open_not_due"))))))</f>
        <v/>
      </c>
      <c r="Q32" s="14">
        <f>IF(tblTasks[[#This Row],[task_id]]="","",IF(tblTasks[[#This Row],[predecessor_task_ids]]="","no_predecessor",IF(SUMPRODUCT((tblTasks[task_id]&lt;&gt;"")*ISNUMBER(SEARCH(tblTasks[task_id],tblTasks[[#This Row],[predecessor_task_ids]])))=LEN(tblTasks[[#This Row],[predecessor_task_ids]])-LEN(SUBSTITUTE(tblTasks[[#This Row],[predecessor_task_ids]],";",""))+1,"valid","invalid")))</f>
        <v/>
      </c>
      <c r="R32" s="14">
        <f>IF(tblTasks[[#This Row],[task_id]]="","",IF(COUNTIF(tblProjects[project_id],tblTasks[[#This Row],[project_id]])=0,"orphan_project",IF(COUNTIFS(tblPhases[phase_id],tblTasks[[#This Row],[phase_id]],tblPhases[project_id],tblTasks[[#This Row],[project_id]])=0,"orphan_phase",IF(AND(tblTasks[[#This Row],[milestone_id]]&lt;&gt;"",COUNTIFS(tblMilestones[milestone_id],tblTasks[[#This Row],[milestone_id]],tblMilestones[project_id],tblTasks[[#This Row],[project_id]])=0),"orphan_milestone","valid"))))</f>
        <v/>
      </c>
      <c r="S32" s="14">
        <f>IF(tblTasks[[#This Row],[task_id]]="","",IF(tblTasks[[#This Row],[status]]="blocked",IF(COUNTIFS(tblEventLog[subject_id],tblTasks[[#This Row],[task_id]],tblEventLog[event_type],"task.status_changed")=0,"missing:task.status_changed","logged"),IF(AND(tblTasks[[#This Row],[status]]="completed",tblTasks[[#This Row],[completed_at]]&gt;=event_reconciliation_from_at,COUNTIFS(tblEventLog[subject_id],tblTasks[[#This Row],[task_id]],tblEventLog[event_type],"task.status_changed")=0),"missing:task.status_changed",IF(OR(AND(tblTasks[[#This Row],[status]]="completed",tblTasks[[#This Row],[completed_at]]&gt;=event_reconciliation_from_at)),"logged","not_required_or_before_window"))))</f>
        <v/>
      </c>
    </row>
    <row r="33">
      <c r="A33" s="6" t="inlineStr">
        <is>
          <t>TSK-000029</t>
        </is>
      </c>
      <c r="B33" s="6" t="inlineStr">
        <is>
          <t>PRJ-000003</t>
        </is>
      </c>
      <c r="C33" s="6" t="inlineStr">
        <is>
          <t>PHS-000015</t>
        </is>
      </c>
      <c r="D33" s="6" t="inlineStr">
        <is>
          <t>MLS-000012</t>
        </is>
      </c>
      <c r="E33" s="6" t="inlineStr">
        <is>
          <t>Collect remaining training sign-offs</t>
        </is>
      </c>
      <c r="F33" s="6" t="inlineStr">
        <is>
          <t>in_progress</t>
        </is>
      </c>
      <c r="G33" s="6" t="inlineStr">
        <is>
          <t>ROL-000005</t>
        </is>
      </c>
      <c r="H33" s="7" t="n">
        <v>3</v>
      </c>
      <c r="I33" s="7" t="n">
        <v>1.5</v>
      </c>
      <c r="J33" s="6" t="inlineStr">
        <is>
          <t>TSK-000024</t>
        </is>
      </c>
      <c r="K33" s="6" t="inlineStr">
        <is>
          <t>2026-09-30</t>
        </is>
      </c>
      <c r="L33" s="6" t="inlineStr">
        <is>
          <t>2026-10-09</t>
        </is>
      </c>
      <c r="M33" s="6" t="n"/>
      <c r="N33" s="7" t="b">
        <v>0</v>
      </c>
      <c r="O33" s="6" t="inlineStr">
        <is>
          <t>0.1.0</t>
        </is>
      </c>
      <c r="P33" s="14">
        <f>IF(tblTasks[[#This Row],[task_id]]="","",IF(tblTasks[[#This Row],[planned_due_date]]="","no_due_date",IF(tblTasks[[#This Row],[status]]="cancelled","cancelled",IF(tblTasks[[#This Row],[status]]="completed",IF(LEFT(tblTasks[[#This Row],[completed_at]],10)&lt;=tblTasks[[#This Row],[planned_due_date]],"completed_on_time","completed_late"),IF(tblTasks[[#This Row],[status]]="blocked","blocked",IF(tblTasks[[#This Row],[planned_due_date]]&lt;LEFT(calculation_as_of_at,10),"overdue","open_not_due"))))))</f>
        <v/>
      </c>
      <c r="Q33" s="14">
        <f>IF(tblTasks[[#This Row],[task_id]]="","",IF(tblTasks[[#This Row],[predecessor_task_ids]]="","no_predecessor",IF(SUMPRODUCT((tblTasks[task_id]&lt;&gt;"")*ISNUMBER(SEARCH(tblTasks[task_id],tblTasks[[#This Row],[predecessor_task_ids]])))=LEN(tblTasks[[#This Row],[predecessor_task_ids]])-LEN(SUBSTITUTE(tblTasks[[#This Row],[predecessor_task_ids]],";",""))+1,"valid","invalid")))</f>
        <v/>
      </c>
      <c r="R33" s="14">
        <f>IF(tblTasks[[#This Row],[task_id]]="","",IF(COUNTIF(tblProjects[project_id],tblTasks[[#This Row],[project_id]])=0,"orphan_project",IF(COUNTIFS(tblPhases[phase_id],tblTasks[[#This Row],[phase_id]],tblPhases[project_id],tblTasks[[#This Row],[project_id]])=0,"orphan_phase",IF(AND(tblTasks[[#This Row],[milestone_id]]&lt;&gt;"",COUNTIFS(tblMilestones[milestone_id],tblTasks[[#This Row],[milestone_id]],tblMilestones[project_id],tblTasks[[#This Row],[project_id]])=0),"orphan_milestone","valid"))))</f>
        <v/>
      </c>
      <c r="S33" s="14">
        <f>IF(tblTasks[[#This Row],[task_id]]="","",IF(tblTasks[[#This Row],[status]]="blocked",IF(COUNTIFS(tblEventLog[subject_id],tblTasks[[#This Row],[task_id]],tblEventLog[event_type],"task.status_changed")=0,"missing:task.status_changed","logged"),IF(AND(tblTasks[[#This Row],[status]]="completed",tblTasks[[#This Row],[completed_at]]&gt;=event_reconciliation_from_at,COUNTIFS(tblEventLog[subject_id],tblTasks[[#This Row],[task_id]],tblEventLog[event_type],"task.status_changed")=0),"missing:task.status_changed",IF(OR(AND(tblTasks[[#This Row],[status]]="completed",tblTasks[[#This Row],[completed_at]]&gt;=event_reconciliation_from_at)),"logged","not_required_or_before_window"))))</f>
        <v/>
      </c>
    </row>
    <row r="34">
      <c r="A34" s="6" t="inlineStr">
        <is>
          <t>TSK-000030</t>
        </is>
      </c>
      <c r="B34" s="6" t="inlineStr">
        <is>
          <t>PRJ-000003</t>
        </is>
      </c>
      <c r="C34" s="6" t="inlineStr">
        <is>
          <t>PHS-000015</t>
        </is>
      </c>
      <c r="D34" s="6" t="inlineStr">
        <is>
          <t>MLS-000012</t>
        </is>
      </c>
      <c r="E34" s="6" t="inlineStr">
        <is>
          <t>Schedule post-launch check-ins</t>
        </is>
      </c>
      <c r="F34" s="6" t="inlineStr">
        <is>
          <t>not_started</t>
        </is>
      </c>
      <c r="G34" s="6" t="inlineStr">
        <is>
          <t>ROL-000001</t>
        </is>
      </c>
      <c r="H34" s="7" t="n">
        <v>2</v>
      </c>
      <c r="I34" s="7" t="n"/>
      <c r="J34" s="6" t="inlineStr">
        <is>
          <t>TSK-000028</t>
        </is>
      </c>
      <c r="K34" s="6" t="inlineStr">
        <is>
          <t>2026-10-12</t>
        </is>
      </c>
      <c r="L34" s="6" t="inlineStr">
        <is>
          <t>2026-10-16</t>
        </is>
      </c>
      <c r="M34" s="6" t="n"/>
      <c r="N34" s="7" t="b">
        <v>0</v>
      </c>
      <c r="O34" s="6" t="inlineStr">
        <is>
          <t>0.1.0</t>
        </is>
      </c>
      <c r="P34" s="14">
        <f>IF(tblTasks[[#This Row],[task_id]]="","",IF(tblTasks[[#This Row],[planned_due_date]]="","no_due_date",IF(tblTasks[[#This Row],[status]]="cancelled","cancelled",IF(tblTasks[[#This Row],[status]]="completed",IF(LEFT(tblTasks[[#This Row],[completed_at]],10)&lt;=tblTasks[[#This Row],[planned_due_date]],"completed_on_time","completed_late"),IF(tblTasks[[#This Row],[status]]="blocked","blocked",IF(tblTasks[[#This Row],[planned_due_date]]&lt;LEFT(calculation_as_of_at,10),"overdue","open_not_due"))))))</f>
        <v/>
      </c>
      <c r="Q34" s="14">
        <f>IF(tblTasks[[#This Row],[task_id]]="","",IF(tblTasks[[#This Row],[predecessor_task_ids]]="","no_predecessor",IF(SUMPRODUCT((tblTasks[task_id]&lt;&gt;"")*ISNUMBER(SEARCH(tblTasks[task_id],tblTasks[[#This Row],[predecessor_task_ids]])))=LEN(tblTasks[[#This Row],[predecessor_task_ids]])-LEN(SUBSTITUTE(tblTasks[[#This Row],[predecessor_task_ids]],";",""))+1,"valid","invalid")))</f>
        <v/>
      </c>
      <c r="R34" s="14">
        <f>IF(tblTasks[[#This Row],[task_id]]="","",IF(COUNTIF(tblProjects[project_id],tblTasks[[#This Row],[project_id]])=0,"orphan_project",IF(COUNTIFS(tblPhases[phase_id],tblTasks[[#This Row],[phase_id]],tblPhases[project_id],tblTasks[[#This Row],[project_id]])=0,"orphan_phase",IF(AND(tblTasks[[#This Row],[milestone_id]]&lt;&gt;"",COUNTIFS(tblMilestones[milestone_id],tblTasks[[#This Row],[milestone_id]],tblMilestones[project_id],tblTasks[[#This Row],[project_id]])=0),"orphan_milestone","valid"))))</f>
        <v/>
      </c>
      <c r="S34" s="14">
        <f>IF(tblTasks[[#This Row],[task_id]]="","",IF(tblTasks[[#This Row],[status]]="blocked",IF(COUNTIFS(tblEventLog[subject_id],tblTasks[[#This Row],[task_id]],tblEventLog[event_type],"task.status_changed")=0,"missing:task.status_changed","logged"),IF(AND(tblTasks[[#This Row],[status]]="completed",tblTasks[[#This Row],[completed_at]]&gt;=event_reconciliation_from_at,COUNTIFS(tblEventLog[subject_id],tblTasks[[#This Row],[task_id]],tblEventLog[event_type],"task.status_changed")=0),"missing:task.status_changed",IF(OR(AND(tblTasks[[#This Row],[status]]="completed",tblTasks[[#This Row],[completed_at]]&gt;=event_reconciliation_from_at)),"logged","not_required_or_before_window"))))</f>
        <v/>
      </c>
    </row>
  </sheetData>
  <conditionalFormatting sqref="P5:P1005">
    <cfRule type="expression" priority="1" dxfId="0">
      <formula>$P5="overdue"</formula>
    </cfRule>
    <cfRule type="expression" priority="2" dxfId="1">
      <formula>$P5="blocked"</formula>
    </cfRule>
  </conditionalFormatting>
  <conditionalFormatting sqref="Q5:Q1005">
    <cfRule type="expression" priority="3" dxfId="0">
      <formula>AND($Q5&lt;&gt;"",$Q5&lt;&gt;"valid",$Q5&lt;&gt;"no_predecessor",$Q5&lt;&gt;"event_only_record")</formula>
    </cfRule>
  </conditionalFormatting>
  <conditionalFormatting sqref="R5:R1005">
    <cfRule type="expression" priority="4" dxfId="0">
      <formula>AND($R5&lt;&gt;"",$R5&lt;&gt;"valid",$R5&lt;&gt;"no_predecessor",$R5&lt;&gt;"event_only_record")</formula>
    </cfRule>
  </conditionalFormatting>
  <conditionalFormatting sqref="S5:S1005">
    <cfRule type="expression" priority="5" dxfId="1">
      <formula>LEFT($S5,7)="missing"</formula>
    </cfRule>
  </conditionalFormatting>
  <dataValidations count="2">
    <dataValidation sqref="F5:F1005" showDropDown="0" showInputMessage="0" showErrorMessage="1" allowBlank="1" errorTitle="Value not in R1 list" error="Choose a value from the R1 task_status list (Lookups tab)." type="list" errorStyle="stop">
      <formula1>=lst_task_status</formula1>
    </dataValidation>
    <dataValidation sqref="G5:G1005" showDropDown="0" showInputMessage="0" showErrorMessage="1" allowBlank="1" errorTitle="Value not in R1 list" error="Choose a value from the R1 role_id list (Lookups tab)." type="list" errorStyle="warning">
      <formula1>=lst_role_id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2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20" customWidth="1" min="9" max="9"/>
    <col width="20" customWidth="1" min="10" max="10"/>
    <col width="20" customWidth="1" min="11" max="11"/>
    <col width="14" customWidth="1" min="12" max="12"/>
    <col width="40" customWidth="1" min="13" max="13"/>
    <col width="14" customWidth="1" min="14" max="14"/>
    <col width="14" customWidth="1" min="15" max="15"/>
    <col width="14" customWidth="1" min="16" max="16"/>
    <col width="18" customWidth="1" min="17" max="17"/>
    <col width="18" customWidth="1" min="18" max="18"/>
    <col width="16" customWidth="1" min="19" max="19"/>
    <col width="28" customWidth="1" min="20" max="20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8" customWidth="1" min="28" max="28"/>
    <col width="16" customWidth="1" min="29" max="29"/>
    <col width="20" customWidth="1" min="30" max="30"/>
    <col width="20" customWidth="1" min="31" max="31"/>
    <col width="14" customWidth="1" min="32" max="32"/>
    <col width="14" customWidth="1" min="33" max="33"/>
    <col width="14" customWidth="1" min="34" max="34"/>
    <col width="18" customWidth="1" min="35" max="35"/>
    <col width="16" customWidth="1" min="36" max="36"/>
    <col width="22" customWidth="1" min="37" max="37"/>
  </cols>
  <sheetData>
    <row r="1">
      <c r="A1" s="1" t="inlineStr">
        <is>
          <t>Requests and Handoffs</t>
        </is>
      </c>
    </row>
    <row r="2">
      <c r="A2" s="9" t="inlineStr">
        <is>
          <t>Statuses and legal transitions come from R1 config/request-state-machine.yaml. Escalation times come from R1 config/sla-rules.yaml.</t>
        </is>
      </c>
    </row>
    <row r="3">
      <c r="A3" s="3" t="inlineStr">
        <is>
          <t>Requests (R1 request records; statuses from R1 config/request-state-machine.yaml)</t>
        </is>
      </c>
      <c r="V3" s="3" t="inlineStr">
        <is>
          <t>Handoffs (R1 handoff records)</t>
        </is>
      </c>
    </row>
    <row r="4">
      <c r="A4" s="5" t="inlineStr">
        <is>
          <t>request_id</t>
        </is>
      </c>
      <c r="B4" s="5" t="inlineStr">
        <is>
          <t>project_id</t>
        </is>
      </c>
      <c r="C4" s="5" t="inlineStr">
        <is>
          <t>request_type</t>
        </is>
      </c>
      <c r="D4" s="5" t="inlineStr">
        <is>
          <t>status</t>
        </is>
      </c>
      <c r="E4" s="5" t="inlineStr">
        <is>
          <t>submitted_at</t>
        </is>
      </c>
      <c r="F4" s="5" t="inlineStr">
        <is>
          <t>submitted_by_role_id</t>
        </is>
      </c>
      <c r="G4" s="5" t="inlineStr">
        <is>
          <t>owner_role_id</t>
        </is>
      </c>
      <c r="H4" s="5" t="inlineStr">
        <is>
          <t>priority</t>
        </is>
      </c>
      <c r="I4" s="5" t="inlineStr">
        <is>
          <t>due_at</t>
        </is>
      </c>
      <c r="J4" s="5" t="inlineStr">
        <is>
          <t>status_changed_at</t>
        </is>
      </c>
      <c r="K4" s="5" t="inlineStr">
        <is>
          <t>escalation_due_at</t>
        </is>
      </c>
      <c r="L4" s="5" t="inlineStr">
        <is>
          <t>source</t>
        </is>
      </c>
      <c r="M4" s="5" t="inlineStr">
        <is>
          <t>description</t>
        </is>
      </c>
      <c r="N4" s="5" t="inlineStr">
        <is>
          <t>schema_version</t>
        </is>
      </c>
      <c r="O4" s="13" t="inlineStr">
        <is>
          <t>status_check</t>
        </is>
      </c>
      <c r="P4" s="13" t="inlineStr">
        <is>
          <t>escalation_rule_id</t>
        </is>
      </c>
      <c r="Q4" s="13" t="inlineStr">
        <is>
          <t>escalation_due_check</t>
        </is>
      </c>
      <c r="R4" s="13" t="inlineStr">
        <is>
          <t>escalation_due_state</t>
        </is>
      </c>
      <c r="S4" s="13" t="inlineStr">
        <is>
          <t>reference_check</t>
        </is>
      </c>
      <c r="T4" s="13" t="inlineStr">
        <is>
          <t>event_evidence</t>
        </is>
      </c>
      <c r="V4" s="5" t="inlineStr">
        <is>
          <t>handoff_id</t>
        </is>
      </c>
      <c r="W4" s="5" t="inlineStr">
        <is>
          <t>project_id</t>
        </is>
      </c>
      <c r="X4" s="5" t="inlineStr">
        <is>
          <t>from_role_id</t>
        </is>
      </c>
      <c r="Y4" s="5" t="inlineStr">
        <is>
          <t>to_role_id</t>
        </is>
      </c>
      <c r="Z4" s="5" t="inlineStr">
        <is>
          <t>handoff_type</t>
        </is>
      </c>
      <c r="AA4" s="5" t="inlineStr">
        <is>
          <t>status</t>
        </is>
      </c>
      <c r="AB4" s="5" t="inlineStr">
        <is>
          <t>required_artifact_refs</t>
        </is>
      </c>
      <c r="AC4" s="5" t="inlineStr">
        <is>
          <t>open_item_refs</t>
        </is>
      </c>
      <c r="AD4" s="5" t="inlineStr">
        <is>
          <t>requested_at</t>
        </is>
      </c>
      <c r="AE4" s="5" t="inlineStr">
        <is>
          <t>accepted_at</t>
        </is>
      </c>
      <c r="AF4" s="5" t="inlineStr">
        <is>
          <t>acceptance_person_id</t>
        </is>
      </c>
      <c r="AG4" s="5" t="inlineStr">
        <is>
          <t>schema_version</t>
        </is>
      </c>
      <c r="AH4" s="13" t="inlineStr">
        <is>
          <t>status_check</t>
        </is>
      </c>
      <c r="AI4" s="13" t="inlineStr">
        <is>
          <t>acceptance_check</t>
        </is>
      </c>
      <c r="AJ4" s="13" t="inlineStr">
        <is>
          <t>reference_check</t>
        </is>
      </c>
      <c r="AK4" s="13" t="inlineStr">
        <is>
          <t>event_evidence</t>
        </is>
      </c>
    </row>
    <row r="5">
      <c r="A5" s="6" t="inlineStr">
        <is>
          <t>REQ-000001</t>
        </is>
      </c>
      <c r="B5" s="6" t="inlineStr">
        <is>
          <t>PRJ-000001</t>
        </is>
      </c>
      <c r="C5" s="6" t="inlineStr">
        <is>
          <t>information</t>
        </is>
      </c>
      <c r="D5" s="6" t="inlineStr">
        <is>
          <t>in_progress</t>
        </is>
      </c>
      <c r="E5" s="6" t="inlineStr">
        <is>
          <t>2026-09-16T15:00:00Z</t>
        </is>
      </c>
      <c r="F5" s="6" t="inlineStr">
        <is>
          <t>ROL-000002</t>
        </is>
      </c>
      <c r="G5" s="6" t="inlineStr">
        <is>
          <t>ROL-000001</t>
        </is>
      </c>
      <c r="H5" s="6" t="inlineStr">
        <is>
          <t>normal</t>
        </is>
      </c>
      <c r="I5" s="6" t="inlineStr">
        <is>
          <t>2026-10-07T17:00:00Z</t>
        </is>
      </c>
      <c r="J5" s="6" t="inlineStr">
        <is>
          <t>2026-09-18T14:00:00Z</t>
        </is>
      </c>
      <c r="K5" s="6" t="n"/>
      <c r="L5" s="6" t="inlineStr">
        <is>
          <t>customer</t>
        </is>
      </c>
      <c r="M5" s="6" t="inlineStr">
        <is>
          <t>Confirm which current-state reports are still used.</t>
        </is>
      </c>
      <c r="N5" s="6" t="inlineStr">
        <is>
          <t>0.1.0</t>
        </is>
      </c>
      <c r="O5" s="14">
        <f>IF(tblRequests[[#This Row],[request_id]]="","",IF(COUNTIFS(tblLookupEntries[lookup_type],"request_status",tblLookupEntries[key],tblRequests[[#This Row],[status]])&gt;0,"valid","invalid_status"))</f>
        <v/>
      </c>
      <c r="P5" s="14">
        <f>IF(tblRequests[[#This Row],[request_id]]="","",IFERROR(INDEX(tblEscalationRules[rule_id],MATCH("request|"&amp;tblRequests[[#This Row],[status]],tblEscalationRules[match_key],0)),""))</f>
        <v/>
      </c>
      <c r="Q5" s="14">
        <f>IF(tblRequests[[#This Row],[request_id]]="","",IF(tblRequests[[#This Row],[escalation_rule_id]]="",IF(tblRequests[[#This Row],[escalation_due_at]]="","consistent","unexpected_escalation_due_at"),IF(tblRequests[[#This Row],[escalation_due_at]]="","missing_escalation_due_at",IF(ABS((DATEVALUE(LEFT(tblRequests[[#This Row],[status_changed_at]],10))+TIMEVALUE(MID(tblRequests[[#This Row],[status_changed_at]],12,8)))+INDEX(tblEscalationRules[duration_hours],MATCH(tblRequests[[#This Row],[escalation_rule_id]],tblEscalationRules[rule_id],0))/24-(DATEVALUE(LEFT(tblRequests[[#This Row],[escalation_due_at]],10))+TIMEVALUE(MID(tblRequests[[#This Row],[escalation_due_at]],12,8))))&lt;0.0001,"consistent","mismatch"))))</f>
        <v/>
      </c>
      <c r="R5" s="14">
        <f>IF(tblRequests[[#This Row],[request_id]]="","",IF(tblRequests[[#This Row],[status]]="closed","closed",IF(tblRequests[[#This Row],[escalation_due_at]]="","no_escalation_timer",IF(tblRequests[[#This Row],[escalation_due_at]]&lt;=calculation_as_of_at,"escalation_due","due_later"))))</f>
        <v/>
      </c>
      <c r="S5" s="14">
        <f>IF(tblRequests[[#This Row],[request_id]]="","",IF(COUNTIF(tblProjects[project_id],tblRequests[[#This Row],[project_id]])=0,"orphan_project","valid"))</f>
        <v/>
      </c>
      <c r="T5" s="14">
        <f>IF(tblRequests[[#This Row],[request_id]]="","",IF(AND(TRUE,tblRequests[[#This Row],[submitted_at]]&gt;=event_reconciliation_from_at,COUNTIFS(tblEventLog[subject_id],tblRequests[[#This Row],[request_id]],tblEventLog[event_type],"request.submitted")=0),"missing:request.submitted",IF(AND(tblRequests[[#This Row],[status]]&lt;&gt;"submitted",tblRequests[[#This Row],[status_changed_at]]&gt;=event_reconciliation_from_at,COUNTIFS(tblEventLog[subject_id],tblRequests[[#This Row],[request_id]],tblEventLog[event_type],"request.status_changed")=0),"missing:request.status_changed",IF(OR(AND(TRUE,tblRequests[[#This Row],[submitted_at]]&gt;=event_reconciliation_from_at),AND(tblRequests[[#This Row],[status]]&lt;&gt;"submitted",tblRequests[[#This Row],[status_changed_at]]&gt;=event_reconciliation_from_at)),"logged","before_window"))))</f>
        <v/>
      </c>
      <c r="V5" s="6" t="inlineStr">
        <is>
          <t>HND-000002</t>
        </is>
      </c>
      <c r="W5" s="6" t="inlineStr">
        <is>
          <t>PRJ-000003</t>
        </is>
      </c>
      <c r="X5" s="6" t="inlineStr">
        <is>
          <t>ROL-000004</t>
        </is>
      </c>
      <c r="Y5" s="6" t="inlineStr">
        <is>
          <t>ROL-000006</t>
        </is>
      </c>
      <c r="Z5" s="6" t="inlineStr">
        <is>
          <t>request</t>
        </is>
      </c>
      <c r="AA5" s="6" t="inlineStr">
        <is>
          <t>accepted</t>
        </is>
      </c>
      <c r="AB5" s="6" t="inlineStr">
        <is>
          <t>REQ-000006</t>
        </is>
      </c>
      <c r="AC5" s="6" t="inlineStr">
        <is>
          <t>ISS-000005</t>
        </is>
      </c>
      <c r="AD5" s="6" t="inlineStr">
        <is>
          <t>2026-10-02T14:00:00Z</t>
        </is>
      </c>
      <c r="AE5" s="6" t="inlineStr">
        <is>
          <t>2026-10-02T17:00:00Z</t>
        </is>
      </c>
      <c r="AF5" s="6" t="inlineStr">
        <is>
          <t>PER-000005</t>
        </is>
      </c>
      <c r="AG5" s="6" t="inlineStr">
        <is>
          <t>0.1.0</t>
        </is>
      </c>
      <c r="AH5" s="14">
        <f>IF(tblHandoffs[[#This Row],[handoff_id]]="","",IF(COUNTIFS(tblLookupEntries[lookup_type],"handoff_status",tblLookupEntries[key],tblHandoffs[[#This Row],[status]])&gt;0,"valid","invalid_status"))</f>
        <v/>
      </c>
      <c r="AI5" s="14">
        <f>IF(tblHandoffs[[#This Row],[handoff_id]]="","",IF(tblHandoffs[[#This Row],[status]]="accepted",IF(AND(LEFT(tblHandoffs[[#This Row],[acceptance_person_id]],4)="PER-",tblHandoffs[[#This Row],[accepted_at]]&lt;&gt;""),"named_acceptance","missing_named_acceptance"),"not_accepted"))</f>
        <v/>
      </c>
      <c r="AJ5" s="14">
        <f>IF(tblHandoffs[[#This Row],[handoff_id]]="","",IF(COUNTIF(tblProjects[project_id],tblHandoffs[[#This Row],[project_id]])=0,"orphan_project","valid"))</f>
        <v/>
      </c>
      <c r="AK5" s="14">
        <f>IF(tblHandoffs[[#This Row],[handoff_id]]="","",IF(AND(tblHandoffs[[#This Row],[status]]="accepted",tblHandoffs[[#This Row],[accepted_at]]&gt;=event_reconciliation_from_at,COUNTIFS(tblEventLog[subject_id],tblHandoffs[[#This Row],[handoff_id]],tblEventLog[event_type],"handoff.completed")=0),"missing:handoff.completed",IF(OR(AND(tblHandoffs[[#This Row],[status]]="accepted",tblHandoffs[[#This Row],[accepted_at]]&gt;=event_reconciliation_from_at)),"logged","not_required_or_before_window")))</f>
        <v/>
      </c>
    </row>
    <row r="6">
      <c r="A6" s="6" t="inlineStr">
        <is>
          <t>REQ-000002</t>
        </is>
      </c>
      <c r="B6" s="6" t="inlineStr">
        <is>
          <t>PRJ-000002</t>
        </is>
      </c>
      <c r="C6" s="6" t="inlineStr">
        <is>
          <t>access</t>
        </is>
      </c>
      <c r="D6" s="6" t="inlineStr">
        <is>
          <t>blocked</t>
        </is>
      </c>
      <c r="E6" s="6" t="inlineStr">
        <is>
          <t>2026-09-15T17:00:00Z</t>
        </is>
      </c>
      <c r="F6" s="6" t="inlineStr">
        <is>
          <t>ROL-000002</t>
        </is>
      </c>
      <c r="G6" s="6" t="inlineStr">
        <is>
          <t>ROL-000004</t>
        </is>
      </c>
      <c r="H6" s="6" t="inlineStr">
        <is>
          <t>high</t>
        </is>
      </c>
      <c r="I6" s="6" t="inlineStr">
        <is>
          <t>2026-09-30T17:00:00Z</t>
        </is>
      </c>
      <c r="J6" s="6" t="inlineStr">
        <is>
          <t>2026-09-24T15:00:00Z</t>
        </is>
      </c>
      <c r="K6" s="6" t="inlineStr">
        <is>
          <t>2026-09-26T15:00:00Z</t>
        </is>
      </c>
      <c r="L6" s="6" t="inlineStr">
        <is>
          <t>customer</t>
        </is>
      </c>
      <c r="M6" s="6" t="inlineStr">
        <is>
          <t>Set up the integration connection to the customer system.</t>
        </is>
      </c>
      <c r="N6" s="6" t="inlineStr">
        <is>
          <t>0.1.0</t>
        </is>
      </c>
      <c r="O6" s="14">
        <f>IF(tblRequests[[#This Row],[request_id]]="","",IF(COUNTIFS(tblLookupEntries[lookup_type],"request_status",tblLookupEntries[key],tblRequests[[#This Row],[status]])&gt;0,"valid","invalid_status"))</f>
        <v/>
      </c>
      <c r="P6" s="14">
        <f>IF(tblRequests[[#This Row],[request_id]]="","",IFERROR(INDEX(tblEscalationRules[rule_id],MATCH("request|"&amp;tblRequests[[#This Row],[status]],tblEscalationRules[match_key],0)),""))</f>
        <v/>
      </c>
      <c r="Q6" s="14">
        <f>IF(tblRequests[[#This Row],[request_id]]="","",IF(tblRequests[[#This Row],[escalation_rule_id]]="",IF(tblRequests[[#This Row],[escalation_due_at]]="","consistent","unexpected_escalation_due_at"),IF(tblRequests[[#This Row],[escalation_due_at]]="","missing_escalation_due_at",IF(ABS((DATEVALUE(LEFT(tblRequests[[#This Row],[status_changed_at]],10))+TIMEVALUE(MID(tblRequests[[#This Row],[status_changed_at]],12,8)))+INDEX(tblEscalationRules[duration_hours],MATCH(tblRequests[[#This Row],[escalation_rule_id]],tblEscalationRules[rule_id],0))/24-(DATEVALUE(LEFT(tblRequests[[#This Row],[escalation_due_at]],10))+TIMEVALUE(MID(tblRequests[[#This Row],[escalation_due_at]],12,8))))&lt;0.0001,"consistent","mismatch"))))</f>
        <v/>
      </c>
      <c r="R6" s="14">
        <f>IF(tblRequests[[#This Row],[request_id]]="","",IF(tblRequests[[#This Row],[status]]="closed","closed",IF(tblRequests[[#This Row],[escalation_due_at]]="","no_escalation_timer",IF(tblRequests[[#This Row],[escalation_due_at]]&lt;=calculation_as_of_at,"escalation_due","due_later"))))</f>
        <v/>
      </c>
      <c r="S6" s="14">
        <f>IF(tblRequests[[#This Row],[request_id]]="","",IF(COUNTIF(tblProjects[project_id],tblRequests[[#This Row],[project_id]])=0,"orphan_project","valid"))</f>
        <v/>
      </c>
      <c r="T6" s="14">
        <f>IF(tblRequests[[#This Row],[request_id]]="","",IF(AND(TRUE,tblRequests[[#This Row],[submitted_at]]&gt;=event_reconciliation_from_at,COUNTIFS(tblEventLog[subject_id],tblRequests[[#This Row],[request_id]],tblEventLog[event_type],"request.submitted")=0),"missing:request.submitted",IF(AND(tblRequests[[#This Row],[status]]&lt;&gt;"submitted",tblRequests[[#This Row],[status_changed_at]]&gt;=event_reconciliation_from_at,COUNTIFS(tblEventLog[subject_id],tblRequests[[#This Row],[request_id]],tblEventLog[event_type],"request.status_changed")=0),"missing:request.status_changed",IF(OR(AND(TRUE,tblRequests[[#This Row],[submitted_at]]&gt;=event_reconciliation_from_at),AND(tblRequests[[#This Row],[status]]&lt;&gt;"submitted",tblRequests[[#This Row],[status_changed_at]]&gt;=event_reconciliation_from_at)),"logged","before_window"))))</f>
        <v/>
      </c>
    </row>
    <row r="7">
      <c r="A7" s="6" t="inlineStr">
        <is>
          <t>REQ-000003</t>
        </is>
      </c>
      <c r="B7" s="6" t="inlineStr">
        <is>
          <t>PRJ-000002</t>
        </is>
      </c>
      <c r="C7" s="6" t="inlineStr">
        <is>
          <t>approval</t>
        </is>
      </c>
      <c r="D7" s="6" t="inlineStr">
        <is>
          <t>awaiting_approval</t>
        </is>
      </c>
      <c r="E7" s="6" t="inlineStr">
        <is>
          <t>2026-10-02T14:00:00Z</t>
        </is>
      </c>
      <c r="F7" s="6" t="inlineStr">
        <is>
          <t>ROL-000004</t>
        </is>
      </c>
      <c r="G7" s="6" t="inlineStr">
        <is>
          <t>ROL-000002</t>
        </is>
      </c>
      <c r="H7" s="6" t="inlineStr">
        <is>
          <t>normal</t>
        </is>
      </c>
      <c r="I7" s="6" t="inlineStr">
        <is>
          <t>2026-10-09T17:00:00Z</t>
        </is>
      </c>
      <c r="J7" s="6" t="inlineStr">
        <is>
          <t>2026-10-03T15:00:00Z</t>
        </is>
      </c>
      <c r="K7" s="6" t="inlineStr">
        <is>
          <t>2026-10-06T15:00:00Z</t>
        </is>
      </c>
      <c r="L7" s="6" t="inlineStr">
        <is>
          <t>internal</t>
        </is>
      </c>
      <c r="M7" s="6" t="inlineStr">
        <is>
          <t>Approve a change to the user role design found during build.</t>
        </is>
      </c>
      <c r="N7" s="6" t="inlineStr">
        <is>
          <t>0.1.0</t>
        </is>
      </c>
      <c r="O7" s="14">
        <f>IF(tblRequests[[#This Row],[request_id]]="","",IF(COUNTIFS(tblLookupEntries[lookup_type],"request_status",tblLookupEntries[key],tblRequests[[#This Row],[status]])&gt;0,"valid","invalid_status"))</f>
        <v/>
      </c>
      <c r="P7" s="14">
        <f>IF(tblRequests[[#This Row],[request_id]]="","",IFERROR(INDEX(tblEscalationRules[rule_id],MATCH("request|"&amp;tblRequests[[#This Row],[status]],tblEscalationRules[match_key],0)),""))</f>
        <v/>
      </c>
      <c r="Q7" s="14">
        <f>IF(tblRequests[[#This Row],[request_id]]="","",IF(tblRequests[[#This Row],[escalation_rule_id]]="",IF(tblRequests[[#This Row],[escalation_due_at]]="","consistent","unexpected_escalation_due_at"),IF(tblRequests[[#This Row],[escalation_due_at]]="","missing_escalation_due_at",IF(ABS((DATEVALUE(LEFT(tblRequests[[#This Row],[status_changed_at]],10))+TIMEVALUE(MID(tblRequests[[#This Row],[status_changed_at]],12,8)))+INDEX(tblEscalationRules[duration_hours],MATCH(tblRequests[[#This Row],[escalation_rule_id]],tblEscalationRules[rule_id],0))/24-(DATEVALUE(LEFT(tblRequests[[#This Row],[escalation_due_at]],10))+TIMEVALUE(MID(tblRequests[[#This Row],[escalation_due_at]],12,8))))&lt;0.0001,"consistent","mismatch"))))</f>
        <v/>
      </c>
      <c r="R7" s="14">
        <f>IF(tblRequests[[#This Row],[request_id]]="","",IF(tblRequests[[#This Row],[status]]="closed","closed",IF(tblRequests[[#This Row],[escalation_due_at]]="","no_escalation_timer",IF(tblRequests[[#This Row],[escalation_due_at]]&lt;=calculation_as_of_at,"escalation_due","due_later"))))</f>
        <v/>
      </c>
      <c r="S7" s="14">
        <f>IF(tblRequests[[#This Row],[request_id]]="","",IF(COUNTIF(tblProjects[project_id],tblRequests[[#This Row],[project_id]])=0,"orphan_project","valid"))</f>
        <v/>
      </c>
      <c r="T7" s="14">
        <f>IF(tblRequests[[#This Row],[request_id]]="","",IF(AND(TRUE,tblRequests[[#This Row],[submitted_at]]&gt;=event_reconciliation_from_at,COUNTIFS(tblEventLog[subject_id],tblRequests[[#This Row],[request_id]],tblEventLog[event_type],"request.submitted")=0),"missing:request.submitted",IF(AND(tblRequests[[#This Row],[status]]&lt;&gt;"submitted",tblRequests[[#This Row],[status_changed_at]]&gt;=event_reconciliation_from_at,COUNTIFS(tblEventLog[subject_id],tblRequests[[#This Row],[request_id]],tblEventLog[event_type],"request.status_changed")=0),"missing:request.status_changed",IF(OR(AND(TRUE,tblRequests[[#This Row],[submitted_at]]&gt;=event_reconciliation_from_at),AND(tblRequests[[#This Row],[status]]&lt;&gt;"submitted",tblRequests[[#This Row],[status_changed_at]]&gt;=event_reconciliation_from_at)),"logged","before_window"))))</f>
        <v/>
      </c>
    </row>
    <row r="8">
      <c r="A8" s="6" t="inlineStr">
        <is>
          <t>REQ-000004</t>
        </is>
      </c>
      <c r="B8" s="6" t="inlineStr">
        <is>
          <t>PRJ-000002</t>
        </is>
      </c>
      <c r="C8" s="6" t="inlineStr">
        <is>
          <t>information</t>
        </is>
      </c>
      <c r="D8" s="6" t="inlineStr">
        <is>
          <t>triaged</t>
        </is>
      </c>
      <c r="E8" s="6" t="inlineStr">
        <is>
          <t>2026-10-05T13:00:00Z</t>
        </is>
      </c>
      <c r="F8" s="6" t="inlineStr">
        <is>
          <t>ROL-000004</t>
        </is>
      </c>
      <c r="G8" s="6" t="inlineStr">
        <is>
          <t>ROL-000007</t>
        </is>
      </c>
      <c r="H8" s="6" t="inlineStr">
        <is>
          <t>normal</t>
        </is>
      </c>
      <c r="I8" s="6" t="inlineStr">
        <is>
          <t>2026-10-08T17:00:00Z</t>
        </is>
      </c>
      <c r="J8" s="6" t="inlineStr">
        <is>
          <t>2026-10-05T16:00:00Z</t>
        </is>
      </c>
      <c r="K8" s="6" t="n"/>
      <c r="L8" s="6" t="inlineStr">
        <is>
          <t>internal</t>
        </is>
      </c>
      <c r="M8" s="6" t="inlineStr">
        <is>
          <t>Clarify the format of the reference data file.</t>
        </is>
      </c>
      <c r="N8" s="6" t="inlineStr">
        <is>
          <t>0.1.0</t>
        </is>
      </c>
      <c r="O8" s="14">
        <f>IF(tblRequests[[#This Row],[request_id]]="","",IF(COUNTIFS(tblLookupEntries[lookup_type],"request_status",tblLookupEntries[key],tblRequests[[#This Row],[status]])&gt;0,"valid","invalid_status"))</f>
        <v/>
      </c>
      <c r="P8" s="14">
        <f>IF(tblRequests[[#This Row],[request_id]]="","",IFERROR(INDEX(tblEscalationRules[rule_id],MATCH("request|"&amp;tblRequests[[#This Row],[status]],tblEscalationRules[match_key],0)),""))</f>
        <v/>
      </c>
      <c r="Q8" s="14">
        <f>IF(tblRequests[[#This Row],[request_id]]="","",IF(tblRequests[[#This Row],[escalation_rule_id]]="",IF(tblRequests[[#This Row],[escalation_due_at]]="","consistent","unexpected_escalation_due_at"),IF(tblRequests[[#This Row],[escalation_due_at]]="","missing_escalation_due_at",IF(ABS((DATEVALUE(LEFT(tblRequests[[#This Row],[status_changed_at]],10))+TIMEVALUE(MID(tblRequests[[#This Row],[status_changed_at]],12,8)))+INDEX(tblEscalationRules[duration_hours],MATCH(tblRequests[[#This Row],[escalation_rule_id]],tblEscalationRules[rule_id],0))/24-(DATEVALUE(LEFT(tblRequests[[#This Row],[escalation_due_at]],10))+TIMEVALUE(MID(tblRequests[[#This Row],[escalation_due_at]],12,8))))&lt;0.0001,"consistent","mismatch"))))</f>
        <v/>
      </c>
      <c r="R8" s="14">
        <f>IF(tblRequests[[#This Row],[request_id]]="","",IF(tblRequests[[#This Row],[status]]="closed","closed",IF(tblRequests[[#This Row],[escalation_due_at]]="","no_escalation_timer",IF(tblRequests[[#This Row],[escalation_due_at]]&lt;=calculation_as_of_at,"escalation_due","due_later"))))</f>
        <v/>
      </c>
      <c r="S8" s="14">
        <f>IF(tblRequests[[#This Row],[request_id]]="","",IF(COUNTIF(tblProjects[project_id],tblRequests[[#This Row],[project_id]])=0,"orphan_project","valid"))</f>
        <v/>
      </c>
      <c r="T8" s="14">
        <f>IF(tblRequests[[#This Row],[request_id]]="","",IF(AND(TRUE,tblRequests[[#This Row],[submitted_at]]&gt;=event_reconciliation_from_at,COUNTIFS(tblEventLog[subject_id],tblRequests[[#This Row],[request_id]],tblEventLog[event_type],"request.submitted")=0),"missing:request.submitted",IF(AND(tblRequests[[#This Row],[status]]&lt;&gt;"submitted",tblRequests[[#This Row],[status_changed_at]]&gt;=event_reconciliation_from_at,COUNTIFS(tblEventLog[subject_id],tblRequests[[#This Row],[request_id]],tblEventLog[event_type],"request.status_changed")=0),"missing:request.status_changed",IF(OR(AND(TRUE,tblRequests[[#This Row],[submitted_at]]&gt;=event_reconciliation_from_at),AND(tblRequests[[#This Row],[status]]&lt;&gt;"submitted",tblRequests[[#This Row],[status_changed_at]]&gt;=event_reconciliation_from_at)),"logged","before_window"))))</f>
        <v/>
      </c>
    </row>
    <row r="9">
      <c r="A9" s="6" t="inlineStr">
        <is>
          <t>REQ-000005</t>
        </is>
      </c>
      <c r="B9" s="6" t="inlineStr">
        <is>
          <t>PRJ-000003</t>
        </is>
      </c>
      <c r="C9" s="6" t="inlineStr">
        <is>
          <t>change</t>
        </is>
      </c>
      <c r="D9" s="6" t="inlineStr">
        <is>
          <t>closed</t>
        </is>
      </c>
      <c r="E9" s="6" t="inlineStr">
        <is>
          <t>2026-09-14T14:00:00Z</t>
        </is>
      </c>
      <c r="F9" s="6" t="inlineStr">
        <is>
          <t>ROL-000007</t>
        </is>
      </c>
      <c r="G9" s="6" t="inlineStr">
        <is>
          <t>ROL-000004</t>
        </is>
      </c>
      <c r="H9" s="6" t="inlineStr">
        <is>
          <t>low</t>
        </is>
      </c>
      <c r="I9" s="6" t="inlineStr">
        <is>
          <t>2026-09-21T17:00:00Z</t>
        </is>
      </c>
      <c r="J9" s="6" t="inlineStr">
        <is>
          <t>2026-09-19T16:00:00Z</t>
        </is>
      </c>
      <c r="K9" s="6" t="n"/>
      <c r="L9" s="6" t="inlineStr">
        <is>
          <t>customer</t>
        </is>
      </c>
      <c r="M9" s="6" t="inlineStr">
        <is>
          <t>Adjust the wording of two notifications.</t>
        </is>
      </c>
      <c r="N9" s="6" t="inlineStr">
        <is>
          <t>0.1.0</t>
        </is>
      </c>
      <c r="O9" s="14">
        <f>IF(tblRequests[[#This Row],[request_id]]="","",IF(COUNTIFS(tblLookupEntries[lookup_type],"request_status",tblLookupEntries[key],tblRequests[[#This Row],[status]])&gt;0,"valid","invalid_status"))</f>
        <v/>
      </c>
      <c r="P9" s="14">
        <f>IF(tblRequests[[#This Row],[request_id]]="","",IFERROR(INDEX(tblEscalationRules[rule_id],MATCH("request|"&amp;tblRequests[[#This Row],[status]],tblEscalationRules[match_key],0)),""))</f>
        <v/>
      </c>
      <c r="Q9" s="14">
        <f>IF(tblRequests[[#This Row],[request_id]]="","",IF(tblRequests[[#This Row],[escalation_rule_id]]="",IF(tblRequests[[#This Row],[escalation_due_at]]="","consistent","unexpected_escalation_due_at"),IF(tblRequests[[#This Row],[escalation_due_at]]="","missing_escalation_due_at",IF(ABS((DATEVALUE(LEFT(tblRequests[[#This Row],[status_changed_at]],10))+TIMEVALUE(MID(tblRequests[[#This Row],[status_changed_at]],12,8)))+INDEX(tblEscalationRules[duration_hours],MATCH(tblRequests[[#This Row],[escalation_rule_id]],tblEscalationRules[rule_id],0))/24-(DATEVALUE(LEFT(tblRequests[[#This Row],[escalation_due_at]],10))+TIMEVALUE(MID(tblRequests[[#This Row],[escalation_due_at]],12,8))))&lt;0.0001,"consistent","mismatch"))))</f>
        <v/>
      </c>
      <c r="R9" s="14">
        <f>IF(tblRequests[[#This Row],[request_id]]="","",IF(tblRequests[[#This Row],[status]]="closed","closed",IF(tblRequests[[#This Row],[escalation_due_at]]="","no_escalation_timer",IF(tblRequests[[#This Row],[escalation_due_at]]&lt;=calculation_as_of_at,"escalation_due","due_later"))))</f>
        <v/>
      </c>
      <c r="S9" s="14">
        <f>IF(tblRequests[[#This Row],[request_id]]="","",IF(COUNTIF(tblProjects[project_id],tblRequests[[#This Row],[project_id]])=0,"orphan_project","valid"))</f>
        <v/>
      </c>
      <c r="T9" s="14">
        <f>IF(tblRequests[[#This Row],[request_id]]="","",IF(AND(TRUE,tblRequests[[#This Row],[submitted_at]]&gt;=event_reconciliation_from_at,COUNTIFS(tblEventLog[subject_id],tblRequests[[#This Row],[request_id]],tblEventLog[event_type],"request.submitted")=0),"missing:request.submitted",IF(AND(tblRequests[[#This Row],[status]]&lt;&gt;"submitted",tblRequests[[#This Row],[status_changed_at]]&gt;=event_reconciliation_from_at,COUNTIFS(tblEventLog[subject_id],tblRequests[[#This Row],[request_id]],tblEventLog[event_type],"request.status_changed")=0),"missing:request.status_changed",IF(OR(AND(TRUE,tblRequests[[#This Row],[submitted_at]]&gt;=event_reconciliation_from_at),AND(tblRequests[[#This Row],[status]]&lt;&gt;"submitted",tblRequests[[#This Row],[status_changed_at]]&gt;=event_reconciliation_from_at)),"logged","before_window"))))</f>
        <v/>
      </c>
    </row>
    <row r="10">
      <c r="A10" s="6" t="inlineStr">
        <is>
          <t>REQ-000006</t>
        </is>
      </c>
      <c r="B10" s="6" t="inlineStr">
        <is>
          <t>PRJ-000003</t>
        </is>
      </c>
      <c r="C10" s="6" t="inlineStr">
        <is>
          <t>data</t>
        </is>
      </c>
      <c r="D10" s="6" t="inlineStr">
        <is>
          <t>handed_off</t>
        </is>
      </c>
      <c r="E10" s="6" t="inlineStr">
        <is>
          <t>2026-09-22T14:00:00Z</t>
        </is>
      </c>
      <c r="F10" s="6" t="inlineStr">
        <is>
          <t>ROL-000002</t>
        </is>
      </c>
      <c r="G10" s="6" t="inlineStr">
        <is>
          <t>ROL-000004</t>
        </is>
      </c>
      <c r="H10" s="6" t="inlineStr">
        <is>
          <t>high</t>
        </is>
      </c>
      <c r="I10" s="6" t="inlineStr">
        <is>
          <t>2026-10-05T17:00:00Z</t>
        </is>
      </c>
      <c r="J10" s="6" t="inlineStr">
        <is>
          <t>2026-10-02T17:05:00Z</t>
        </is>
      </c>
      <c r="K10" s="6" t="n"/>
      <c r="L10" s="6" t="inlineStr">
        <is>
          <t>customer</t>
        </is>
      </c>
      <c r="M10" s="6" t="inlineStr">
        <is>
          <t>Prepare the procedure for the final data extract and hand it to the support team.</t>
        </is>
      </c>
      <c r="N10" s="6" t="inlineStr">
        <is>
          <t>0.1.0</t>
        </is>
      </c>
      <c r="O10" s="14">
        <f>IF(tblRequests[[#This Row],[request_id]]="","",IF(COUNTIFS(tblLookupEntries[lookup_type],"request_status",tblLookupEntries[key],tblRequests[[#This Row],[status]])&gt;0,"valid","invalid_status"))</f>
        <v/>
      </c>
      <c r="P10" s="14">
        <f>IF(tblRequests[[#This Row],[request_id]]="","",IFERROR(INDEX(tblEscalationRules[rule_id],MATCH("request|"&amp;tblRequests[[#This Row],[status]],tblEscalationRules[match_key],0)),""))</f>
        <v/>
      </c>
      <c r="Q10" s="14">
        <f>IF(tblRequests[[#This Row],[request_id]]="","",IF(tblRequests[[#This Row],[escalation_rule_id]]="",IF(tblRequests[[#This Row],[escalation_due_at]]="","consistent","unexpected_escalation_due_at"),IF(tblRequests[[#This Row],[escalation_due_at]]="","missing_escalation_due_at",IF(ABS((DATEVALUE(LEFT(tblRequests[[#This Row],[status_changed_at]],10))+TIMEVALUE(MID(tblRequests[[#This Row],[status_changed_at]],12,8)))+INDEX(tblEscalationRules[duration_hours],MATCH(tblRequests[[#This Row],[escalation_rule_id]],tblEscalationRules[rule_id],0))/24-(DATEVALUE(LEFT(tblRequests[[#This Row],[escalation_due_at]],10))+TIMEVALUE(MID(tblRequests[[#This Row],[escalation_due_at]],12,8))))&lt;0.0001,"consistent","mismatch"))))</f>
        <v/>
      </c>
      <c r="R10" s="14">
        <f>IF(tblRequests[[#This Row],[request_id]]="","",IF(tblRequests[[#This Row],[status]]="closed","closed",IF(tblRequests[[#This Row],[escalation_due_at]]="","no_escalation_timer",IF(tblRequests[[#This Row],[escalation_due_at]]&lt;=calculation_as_of_at,"escalation_due","due_later"))))</f>
        <v/>
      </c>
      <c r="S10" s="14">
        <f>IF(tblRequests[[#This Row],[request_id]]="","",IF(COUNTIF(tblProjects[project_id],tblRequests[[#This Row],[project_id]])=0,"orphan_project","valid"))</f>
        <v/>
      </c>
      <c r="T10" s="14">
        <f>IF(tblRequests[[#This Row],[request_id]]="","",IF(AND(TRUE,tblRequests[[#This Row],[submitted_at]]&gt;=event_reconciliation_from_at,COUNTIFS(tblEventLog[subject_id],tblRequests[[#This Row],[request_id]],tblEventLog[event_type],"request.submitted")=0),"missing:request.submitted",IF(AND(tblRequests[[#This Row],[status]]&lt;&gt;"submitted",tblRequests[[#This Row],[status_changed_at]]&gt;=event_reconciliation_from_at,COUNTIFS(tblEventLog[subject_id],tblRequests[[#This Row],[request_id]],tblEventLog[event_type],"request.status_changed")=0),"missing:request.status_changed",IF(OR(AND(TRUE,tblRequests[[#This Row],[submitted_at]]&gt;=event_reconciliation_from_at),AND(tblRequests[[#This Row],[status]]&lt;&gt;"submitted",tblRequests[[#This Row],[status_changed_at]]&gt;=event_reconciliation_from_at)),"logged","before_window"))))</f>
        <v/>
      </c>
    </row>
    <row r="11">
      <c r="A11" s="6" t="inlineStr">
        <is>
          <t>REQ-000007</t>
        </is>
      </c>
      <c r="B11" s="6" t="inlineStr">
        <is>
          <t>PRJ-000003</t>
        </is>
      </c>
      <c r="C11" s="6" t="inlineStr">
        <is>
          <t>information</t>
        </is>
      </c>
      <c r="D11" s="6" t="inlineStr">
        <is>
          <t>accepted</t>
        </is>
      </c>
      <c r="E11" s="6" t="inlineStr">
        <is>
          <t>2026-10-01T15:00:00Z</t>
        </is>
      </c>
      <c r="F11" s="6" t="inlineStr">
        <is>
          <t>ROL-000001</t>
        </is>
      </c>
      <c r="G11" s="6" t="inlineStr">
        <is>
          <t>ROL-000006</t>
        </is>
      </c>
      <c r="H11" s="6" t="inlineStr">
        <is>
          <t>normal</t>
        </is>
      </c>
      <c r="I11" s="6" t="inlineStr">
        <is>
          <t>2026-10-08T17:00:00Z</t>
        </is>
      </c>
      <c r="J11" s="6" t="inlineStr">
        <is>
          <t>2026-10-01T18:00:00Z</t>
        </is>
      </c>
      <c r="K11" s="6" t="n"/>
      <c r="L11" s="6" t="inlineStr">
        <is>
          <t>internal</t>
        </is>
      </c>
      <c r="M11" s="6" t="inlineStr">
        <is>
          <t>Provide the after-hours contact list for launch week.</t>
        </is>
      </c>
      <c r="N11" s="6" t="inlineStr">
        <is>
          <t>0.1.0</t>
        </is>
      </c>
      <c r="O11" s="14">
        <f>IF(tblRequests[[#This Row],[request_id]]="","",IF(COUNTIFS(tblLookupEntries[lookup_type],"request_status",tblLookupEntries[key],tblRequests[[#This Row],[status]])&gt;0,"valid","invalid_status"))</f>
        <v/>
      </c>
      <c r="P11" s="14">
        <f>IF(tblRequests[[#This Row],[request_id]]="","",IFERROR(INDEX(tblEscalationRules[rule_id],MATCH("request|"&amp;tblRequests[[#This Row],[status]],tblEscalationRules[match_key],0)),""))</f>
        <v/>
      </c>
      <c r="Q11" s="14">
        <f>IF(tblRequests[[#This Row],[request_id]]="","",IF(tblRequests[[#This Row],[escalation_rule_id]]="",IF(tblRequests[[#This Row],[escalation_due_at]]="","consistent","unexpected_escalation_due_at"),IF(tblRequests[[#This Row],[escalation_due_at]]="","missing_escalation_due_at",IF(ABS((DATEVALUE(LEFT(tblRequests[[#This Row],[status_changed_at]],10))+TIMEVALUE(MID(tblRequests[[#This Row],[status_changed_at]],12,8)))+INDEX(tblEscalationRules[duration_hours],MATCH(tblRequests[[#This Row],[escalation_rule_id]],tblEscalationRules[rule_id],0))/24-(DATEVALUE(LEFT(tblRequests[[#This Row],[escalation_due_at]],10))+TIMEVALUE(MID(tblRequests[[#This Row],[escalation_due_at]],12,8))))&lt;0.0001,"consistent","mismatch"))))</f>
        <v/>
      </c>
      <c r="R11" s="14">
        <f>IF(tblRequests[[#This Row],[request_id]]="","",IF(tblRequests[[#This Row],[status]]="closed","closed",IF(tblRequests[[#This Row],[escalation_due_at]]="","no_escalation_timer",IF(tblRequests[[#This Row],[escalation_due_at]]&lt;=calculation_as_of_at,"escalation_due","due_later"))))</f>
        <v/>
      </c>
      <c r="S11" s="14">
        <f>IF(tblRequests[[#This Row],[request_id]]="","",IF(COUNTIF(tblProjects[project_id],tblRequests[[#This Row],[project_id]])=0,"orphan_project","valid"))</f>
        <v/>
      </c>
      <c r="T11" s="14">
        <f>IF(tblRequests[[#This Row],[request_id]]="","",IF(AND(TRUE,tblRequests[[#This Row],[submitted_at]]&gt;=event_reconciliation_from_at,COUNTIFS(tblEventLog[subject_id],tblRequests[[#This Row],[request_id]],tblEventLog[event_type],"request.submitted")=0),"missing:request.submitted",IF(AND(tblRequests[[#This Row],[status]]&lt;&gt;"submitted",tblRequests[[#This Row],[status_changed_at]]&gt;=event_reconciliation_from_at,COUNTIFS(tblEventLog[subject_id],tblRequests[[#This Row],[request_id]],tblEventLog[event_type],"request.status_changed")=0),"missing:request.status_changed",IF(OR(AND(TRUE,tblRequests[[#This Row],[submitted_at]]&gt;=event_reconciliation_from_at),AND(tblRequests[[#This Row],[status]]&lt;&gt;"submitted",tblRequests[[#This Row],[status_changed_at]]&gt;=event_reconciliation_from_at)),"logged","before_window"))))</f>
        <v/>
      </c>
    </row>
    <row r="12">
      <c r="A12" s="6" t="inlineStr">
        <is>
          <t>REQ-000008</t>
        </is>
      </c>
      <c r="B12" s="6" t="inlineStr">
        <is>
          <t>PRJ-000003</t>
        </is>
      </c>
      <c r="C12" s="6" t="inlineStr">
        <is>
          <t>information</t>
        </is>
      </c>
      <c r="D12" s="6" t="inlineStr">
        <is>
          <t>submitted</t>
        </is>
      </c>
      <c r="E12" s="6" t="inlineStr">
        <is>
          <t>2026-10-05T14:00:00Z</t>
        </is>
      </c>
      <c r="F12" s="6" t="inlineStr">
        <is>
          <t>ROL-000007</t>
        </is>
      </c>
      <c r="G12" s="6" t="inlineStr">
        <is>
          <t>ROL-000001</t>
        </is>
      </c>
      <c r="H12" s="6" t="inlineStr">
        <is>
          <t>normal</t>
        </is>
      </c>
      <c r="I12" s="6" t="inlineStr">
        <is>
          <t>2026-10-09T17:00:00Z</t>
        </is>
      </c>
      <c r="J12" s="6" t="inlineStr">
        <is>
          <t>2026-10-05T14:00:00Z</t>
        </is>
      </c>
      <c r="K12" s="6" t="inlineStr">
        <is>
          <t>2026-10-06T14:00:00Z</t>
        </is>
      </c>
      <c r="L12" s="6" t="inlineStr">
        <is>
          <t>customer</t>
        </is>
      </c>
      <c r="M12" s="6" t="inlineStr">
        <is>
          <t>Explain how report access will work after launch.</t>
        </is>
      </c>
      <c r="N12" s="6" t="inlineStr">
        <is>
          <t>0.1.0</t>
        </is>
      </c>
      <c r="O12" s="14">
        <f>IF(tblRequests[[#This Row],[request_id]]="","",IF(COUNTIFS(tblLookupEntries[lookup_type],"request_status",tblLookupEntries[key],tblRequests[[#This Row],[status]])&gt;0,"valid","invalid_status"))</f>
        <v/>
      </c>
      <c r="P12" s="14">
        <f>IF(tblRequests[[#This Row],[request_id]]="","",IFERROR(INDEX(tblEscalationRules[rule_id],MATCH("request|"&amp;tblRequests[[#This Row],[status]],tblEscalationRules[match_key],0)),""))</f>
        <v/>
      </c>
      <c r="Q12" s="14">
        <f>IF(tblRequests[[#This Row],[request_id]]="","",IF(tblRequests[[#This Row],[escalation_rule_id]]="",IF(tblRequests[[#This Row],[escalation_due_at]]="","consistent","unexpected_escalation_due_at"),IF(tblRequests[[#This Row],[escalation_due_at]]="","missing_escalation_due_at",IF(ABS((DATEVALUE(LEFT(tblRequests[[#This Row],[status_changed_at]],10))+TIMEVALUE(MID(tblRequests[[#This Row],[status_changed_at]],12,8)))+INDEX(tblEscalationRules[duration_hours],MATCH(tblRequests[[#This Row],[escalation_rule_id]],tblEscalationRules[rule_id],0))/24-(DATEVALUE(LEFT(tblRequests[[#This Row],[escalation_due_at]],10))+TIMEVALUE(MID(tblRequests[[#This Row],[escalation_due_at]],12,8))))&lt;0.0001,"consistent","mismatch"))))</f>
        <v/>
      </c>
      <c r="R12" s="14">
        <f>IF(tblRequests[[#This Row],[request_id]]="","",IF(tblRequests[[#This Row],[status]]="closed","closed",IF(tblRequests[[#This Row],[escalation_due_at]]="","no_escalation_timer",IF(tblRequests[[#This Row],[escalation_due_at]]&lt;=calculation_as_of_at,"escalation_due","due_later"))))</f>
        <v/>
      </c>
      <c r="S12" s="14">
        <f>IF(tblRequests[[#This Row],[request_id]]="","",IF(COUNTIF(tblProjects[project_id],tblRequests[[#This Row],[project_id]])=0,"orphan_project","valid"))</f>
        <v/>
      </c>
      <c r="T12" s="14">
        <f>IF(tblRequests[[#This Row],[request_id]]="","",IF(AND(TRUE,tblRequests[[#This Row],[submitted_at]]&gt;=event_reconciliation_from_at,COUNTIFS(tblEventLog[subject_id],tblRequests[[#This Row],[request_id]],tblEventLog[event_type],"request.submitted")=0),"missing:request.submitted",IF(AND(tblRequests[[#This Row],[status]]&lt;&gt;"submitted",tblRequests[[#This Row],[status_changed_at]]&gt;=event_reconciliation_from_at,COUNTIFS(tblEventLog[subject_id],tblRequests[[#This Row],[request_id]],tblEventLog[event_type],"request.status_changed")=0),"missing:request.status_changed",IF(OR(AND(TRUE,tblRequests[[#This Row],[submitted_at]]&gt;=event_reconciliation_from_at),AND(tblRequests[[#This Row],[status]]&lt;&gt;"submitted",tblRequests[[#This Row],[status_changed_at]]&gt;=event_reconciliation_from_at)),"logged","before_window"))))</f>
        <v/>
      </c>
    </row>
  </sheetData>
  <conditionalFormatting sqref="O5:O1005">
    <cfRule type="expression" priority="1" dxfId="0">
      <formula>AND($O5&lt;&gt;"",$O5&lt;&gt;"valid",$O5&lt;&gt;"no_predecessor",$O5&lt;&gt;"event_only_record")</formula>
    </cfRule>
  </conditionalFormatting>
  <conditionalFormatting sqref="Q5:Q1005">
    <cfRule type="expression" priority="2" dxfId="0">
      <formula>AND($Q5&lt;&gt;"",$Q5&lt;&gt;"consistent",$Q5&lt;&gt;"no_predecessor",$Q5&lt;&gt;"event_only_record")</formula>
    </cfRule>
  </conditionalFormatting>
  <conditionalFormatting sqref="R5:R1005">
    <cfRule type="expression" priority="3" dxfId="1">
      <formula>$R5="escalation_due"</formula>
    </cfRule>
  </conditionalFormatting>
  <conditionalFormatting sqref="S5:S1005">
    <cfRule type="expression" priority="4" dxfId="0">
      <formula>AND($S5&lt;&gt;"",$S5&lt;&gt;"valid",$S5&lt;&gt;"no_predecessor",$S5&lt;&gt;"event_only_record")</formula>
    </cfRule>
  </conditionalFormatting>
  <conditionalFormatting sqref="T5:T1005">
    <cfRule type="expression" priority="5" dxfId="1">
      <formula>LEFT($T5,7)="missing"</formula>
    </cfRule>
  </conditionalFormatting>
  <conditionalFormatting sqref="AH5:AH1005">
    <cfRule type="expression" priority="6" dxfId="0">
      <formula>AND($AH5&lt;&gt;"",$AH5&lt;&gt;"valid",$AH5&lt;&gt;"no_predecessor",$AH5&lt;&gt;"event_only_record")</formula>
    </cfRule>
  </conditionalFormatting>
  <conditionalFormatting sqref="AJ5:AJ1005">
    <cfRule type="expression" priority="7" dxfId="0">
      <formula>AND($AJ5&lt;&gt;"",$AJ5&lt;&gt;"valid",$AJ5&lt;&gt;"no_predecessor",$AJ5&lt;&gt;"event_only_record")</formula>
    </cfRule>
  </conditionalFormatting>
  <conditionalFormatting sqref="AK5:AK1005">
    <cfRule type="expression" priority="8" dxfId="1">
      <formula>LEFT($AK5,7)="missing"</formula>
    </cfRule>
  </conditionalFormatting>
  <dataValidations count="10">
    <dataValidation sqref="C5:C1005" showDropDown="0" showInputMessage="0" showErrorMessage="1" allowBlank="1" errorTitle="Value not in R1 list" error="Choose a value from the R1 request_type list (Lookups tab)." type="list" errorStyle="stop">
      <formula1>=lst_request_type</formula1>
    </dataValidation>
    <dataValidation sqref="D5:D1005" showDropDown="0" showInputMessage="0" showErrorMessage="1" allowBlank="1" errorTitle="Value not in R1 list" error="Choose a value from the R1 request_status list (Lookups tab)." type="list" errorStyle="stop">
      <formula1>=lst_request_status</formula1>
    </dataValidation>
    <dataValidation sqref="F5:F1005" showDropDown="0" showInputMessage="0" showErrorMessage="1" allowBlank="1" errorTitle="Value not in R1 list" error="Choose a value from the R1 role_id list (Lookups tab)." type="list" errorStyle="warning">
      <formula1>=lst_role_id</formula1>
    </dataValidation>
    <dataValidation sqref="G5:G1005" showDropDown="0" showInputMessage="0" showErrorMessage="1" allowBlank="1" errorTitle="Value not in R1 list" error="Choose a value from the R1 role_id list (Lookups tab)." type="list" errorStyle="warning">
      <formula1>=lst_role_id</formula1>
    </dataValidation>
    <dataValidation sqref="H5:H1005" showDropDown="0" showInputMessage="0" showErrorMessage="1" allowBlank="1" errorTitle="Value not in R1 list" error="Choose a value from the R1 request_priority list (Lookups tab)." type="list" errorStyle="stop">
      <formula1>=lst_request_priority</formula1>
    </dataValidation>
    <dataValidation sqref="L5:L1005" showDropDown="0" showInputMessage="0" showErrorMessage="1" allowBlank="1" errorTitle="Value not in R1 list" error="Choose a value from the R1 request_source list (Lookups tab)." type="list" errorStyle="stop">
      <formula1>=lst_request_source</formula1>
    </dataValidation>
    <dataValidation sqref="X5:X1005" showDropDown="0" showInputMessage="0" showErrorMessage="1" allowBlank="1" errorTitle="Value not in R1 list" error="Choose a value from the R1 role_id list (Lookups tab)." type="list" errorStyle="warning">
      <formula1>=lst_role_id</formula1>
    </dataValidation>
    <dataValidation sqref="Y5:Y1005" showDropDown="0" showInputMessage="0" showErrorMessage="1" allowBlank="1" errorTitle="Value not in R1 list" error="Choose a value from the R1 role_id list (Lookups tab)." type="list" errorStyle="warning">
      <formula1>=lst_role_id</formula1>
    </dataValidation>
    <dataValidation sqref="Z5:Z1005" showDropDown="0" showInputMessage="0" showErrorMessage="1" allowBlank="1" errorTitle="Value not in R1 list" error="Choose a value from the R1 handoff_type list (Lookups tab)." type="list" errorStyle="stop">
      <formula1>=lst_handoff_type</formula1>
    </dataValidation>
    <dataValidation sqref="AA5:AA1005" showDropDown="0" showInputMessage="0" showErrorMessage="1" allowBlank="1" errorTitle="Value not in R1 list" error="Choose a value from the R1 handoff_status list (Lookups tab)." type="list" errorStyle="stop">
      <formula1>=lst_handoff_status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0" customWidth="1" min="4" max="4"/>
    <col width="28" customWidth="1" min="5" max="5"/>
    <col width="10" customWidth="1" min="6" max="6"/>
    <col width="60" customWidth="1" min="7" max="7"/>
    <col width="12" customWidth="1" min="8" max="8"/>
    <col width="10" customWidth="1" min="9" max="9"/>
    <col width="28" customWidth="1" min="10" max="10"/>
    <col width="14" customWidth="1" min="11" max="11"/>
    <col width="12" customWidth="1" min="12" max="12"/>
    <col width="12" customWidth="1" min="13" max="13"/>
    <col width="9" customWidth="1" min="14" max="14"/>
    <col width="70" customWidth="1" min="15" max="15"/>
    <col width="34" customWidth="1" min="16" max="16"/>
  </cols>
  <sheetData>
    <row r="1">
      <c r="A1" s="1" t="inlineStr">
        <is>
          <t>Escalation Rules</t>
        </is>
      </c>
    </row>
    <row r="2">
      <c r="A2" s="15" t="inlineStr">
        <is>
          <t>Source of truth: R1 configuration. This tab is a read-only mirror; editing it would not change R1.</t>
        </is>
      </c>
    </row>
    <row r="3">
      <c r="A3" s="3" t="inlineStr">
        <is>
          <t>Escalation and lead-time rules (mirror; source of truth: R1 configuration)</t>
        </is>
      </c>
    </row>
    <row r="4">
      <c r="A4" s="10" t="inlineStr">
        <is>
          <t>rule_id</t>
        </is>
      </c>
      <c r="B4" s="10" t="inlineStr">
        <is>
          <t>source_file</t>
        </is>
      </c>
      <c r="C4" s="10" t="inlineStr">
        <is>
          <t>source_version</t>
        </is>
      </c>
      <c r="D4" s="10" t="inlineStr">
        <is>
          <t>rule_kind</t>
        </is>
      </c>
      <c r="E4" s="10" t="inlineStr">
        <is>
          <t>rule_key</t>
        </is>
      </c>
      <c r="F4" s="10" t="inlineStr">
        <is>
          <t>applies_to</t>
        </is>
      </c>
      <c r="G4" s="10" t="inlineStr">
        <is>
          <t>trigger</t>
        </is>
      </c>
      <c r="H4" s="10" t="inlineStr">
        <is>
          <t>duration_parameter</t>
        </is>
      </c>
      <c r="I4" s="10" t="inlineStr">
        <is>
          <t>duration_hours</t>
        </is>
      </c>
      <c r="J4" s="10" t="inlineStr">
        <is>
          <t>warning_behavior</t>
        </is>
      </c>
      <c r="K4" s="10" t="inlineStr">
        <is>
          <t>escalation_role_id</t>
        </is>
      </c>
      <c r="L4" s="10" t="inlineStr">
        <is>
          <t>escalation_severity</t>
        </is>
      </c>
      <c r="M4" s="10" t="inlineStr">
        <is>
          <t>action</t>
        </is>
      </c>
      <c r="N4" s="10" t="inlineStr">
        <is>
          <t>enabled</t>
        </is>
      </c>
      <c r="O4" s="10" t="inlineStr">
        <is>
          <t>stage_behavior</t>
        </is>
      </c>
      <c r="P4" s="10" t="inlineStr">
        <is>
          <t>match_key</t>
        </is>
      </c>
    </row>
    <row r="5">
      <c r="A5" s="11" t="inlineStr">
        <is>
          <t>RUL-000001</t>
        </is>
      </c>
      <c r="B5" s="11" t="inlineStr">
        <is>
          <t>config/sla-rules.yaml</t>
        </is>
      </c>
      <c r="C5" s="12" t="inlineStr">
        <is>
          <t>9acd25a</t>
        </is>
      </c>
      <c r="D5" s="11" t="inlineStr">
        <is>
          <t>sla</t>
        </is>
      </c>
      <c r="E5" s="11" t="inlineStr">
        <is>
          <t>request_triage</t>
        </is>
      </c>
      <c r="F5" s="11" t="inlineStr">
        <is>
          <t>request</t>
        </is>
      </c>
      <c r="G5" s="11" t="inlineStr">
        <is>
          <t>status=submitted</t>
        </is>
      </c>
      <c r="H5" s="12" t="inlineStr">
        <is>
          <t>PT24H</t>
        </is>
      </c>
      <c r="I5" s="11" t="n">
        <v>24</v>
      </c>
      <c r="J5" s="11" t="inlineStr">
        <is>
          <t>warning PT4H before due</t>
        </is>
      </c>
      <c r="K5" s="11" t="inlineStr">
        <is>
          <t>ROL-000001</t>
        </is>
      </c>
      <c r="L5" s="11" t="inlineStr">
        <is>
          <t>sev3</t>
        </is>
      </c>
      <c r="M5" s="11" t="inlineStr">
        <is>
          <t>escalate</t>
        </is>
      </c>
      <c r="N5" s="11" t="b">
        <v>1</v>
      </c>
      <c r="O5" s="11" t="inlineStr">
        <is>
          <t>startup=optional; early_scale=recommended; structured_growth=required; mature=required</t>
        </is>
      </c>
      <c r="P5" s="11" t="inlineStr">
        <is>
          <t>request|submitted</t>
        </is>
      </c>
    </row>
    <row r="6">
      <c r="A6" s="11" t="inlineStr">
        <is>
          <t>RUL-000002</t>
        </is>
      </c>
      <c r="B6" s="11" t="inlineStr">
        <is>
          <t>config/sla-rules.yaml</t>
        </is>
      </c>
      <c r="C6" s="12" t="inlineStr">
        <is>
          <t>9acd25a</t>
        </is>
      </c>
      <c r="D6" s="11" t="inlineStr">
        <is>
          <t>sla</t>
        </is>
      </c>
      <c r="E6" s="11" t="inlineStr">
        <is>
          <t>request_approval_wait</t>
        </is>
      </c>
      <c r="F6" s="11" t="inlineStr">
        <is>
          <t>request</t>
        </is>
      </c>
      <c r="G6" s="11" t="inlineStr">
        <is>
          <t>status=awaiting_approval</t>
        </is>
      </c>
      <c r="H6" s="12" t="inlineStr">
        <is>
          <t>PT72H</t>
        </is>
      </c>
      <c r="I6" s="11" t="n">
        <v>72</v>
      </c>
      <c r="J6" s="11" t="inlineStr">
        <is>
          <t>warning PT24H before due</t>
        </is>
      </c>
      <c r="K6" s="11" t="inlineStr">
        <is>
          <t>ROL-000003</t>
        </is>
      </c>
      <c r="L6" s="11" t="inlineStr">
        <is>
          <t>sev3</t>
        </is>
      </c>
      <c r="M6" s="11" t="inlineStr">
        <is>
          <t>escalate</t>
        </is>
      </c>
      <c r="N6" s="11" t="b">
        <v>1</v>
      </c>
      <c r="O6" s="11" t="inlineStr">
        <is>
          <t>startup=optional; early_scale=recommended; structured_growth=required; mature=required</t>
        </is>
      </c>
      <c r="P6" s="11" t="inlineStr">
        <is>
          <t>request|awaiting_approval</t>
        </is>
      </c>
    </row>
    <row r="7">
      <c r="A7" s="11" t="inlineStr">
        <is>
          <t>RUL-000003</t>
        </is>
      </c>
      <c r="B7" s="11" t="inlineStr">
        <is>
          <t>config/sla-rules.yaml</t>
        </is>
      </c>
      <c r="C7" s="12" t="inlineStr">
        <is>
          <t>9acd25a</t>
        </is>
      </c>
      <c r="D7" s="11" t="inlineStr">
        <is>
          <t>sla</t>
        </is>
      </c>
      <c r="E7" s="11" t="inlineStr">
        <is>
          <t>request_blocked</t>
        </is>
      </c>
      <c r="F7" s="11" t="inlineStr">
        <is>
          <t>request</t>
        </is>
      </c>
      <c r="G7" s="11" t="inlineStr">
        <is>
          <t>status=blocked</t>
        </is>
      </c>
      <c r="H7" s="12" t="inlineStr">
        <is>
          <t>PT48H</t>
        </is>
      </c>
      <c r="I7" s="11" t="n">
        <v>48</v>
      </c>
      <c r="J7" s="11" t="inlineStr">
        <is>
          <t>warning PT8H before due</t>
        </is>
      </c>
      <c r="K7" s="11" t="inlineStr">
        <is>
          <t>ROL-000003</t>
        </is>
      </c>
      <c r="L7" s="11" t="inlineStr">
        <is>
          <t>sev2</t>
        </is>
      </c>
      <c r="M7" s="11" t="inlineStr">
        <is>
          <t>escalate</t>
        </is>
      </c>
      <c r="N7" s="11" t="b">
        <v>1</v>
      </c>
      <c r="O7" s="11" t="inlineStr">
        <is>
          <t>startup=recommended; early_scale=required; structured_growth=required; mature=required</t>
        </is>
      </c>
      <c r="P7" s="11" t="inlineStr">
        <is>
          <t>request|blocked</t>
        </is>
      </c>
    </row>
    <row r="8">
      <c r="A8" s="11" t="inlineStr">
        <is>
          <t>RUL-000004</t>
        </is>
      </c>
      <c r="B8" s="11" t="inlineStr">
        <is>
          <t>config/sla-rules.yaml</t>
        </is>
      </c>
      <c r="C8" s="12" t="inlineStr">
        <is>
          <t>9acd25a</t>
        </is>
      </c>
      <c r="D8" s="11" t="inlineStr">
        <is>
          <t>sla</t>
        </is>
      </c>
      <c r="E8" s="11" t="inlineStr">
        <is>
          <t>handoff_acceptance</t>
        </is>
      </c>
      <c r="F8" s="11" t="inlineStr">
        <is>
          <t>handoff</t>
        </is>
      </c>
      <c r="G8" s="11" t="inlineStr">
        <is>
          <t>status=requested</t>
        </is>
      </c>
      <c r="H8" s="12" t="inlineStr">
        <is>
          <t>PT72H</t>
        </is>
      </c>
      <c r="I8" s="11" t="n">
        <v>72</v>
      </c>
      <c r="J8" s="11" t="inlineStr">
        <is>
          <t>warning PT24H before due</t>
        </is>
      </c>
      <c r="K8" s="11" t="inlineStr">
        <is>
          <t>ROL-000003</t>
        </is>
      </c>
      <c r="L8" s="11" t="inlineStr"/>
      <c r="M8" s="11" t="inlineStr">
        <is>
          <t>notify_role</t>
        </is>
      </c>
      <c r="N8" s="11" t="b">
        <v>1</v>
      </c>
      <c r="O8" s="11" t="inlineStr">
        <is>
          <t>startup=optional; early_scale=recommended; structured_growth=required; mature=required</t>
        </is>
      </c>
      <c r="P8" s="11" t="inlineStr">
        <is>
          <t>handoff|requested||notify_role</t>
        </is>
      </c>
    </row>
    <row r="9">
      <c r="A9" s="11" t="inlineStr">
        <is>
          <t>RUL-000005</t>
        </is>
      </c>
      <c r="B9" s="11" t="inlineStr">
        <is>
          <t>config/sla-rules.yaml</t>
        </is>
      </c>
      <c r="C9" s="12" t="inlineStr">
        <is>
          <t>9acd25a</t>
        </is>
      </c>
      <c r="D9" s="11" t="inlineStr">
        <is>
          <t>sla</t>
        </is>
      </c>
      <c r="E9" s="11" t="inlineStr">
        <is>
          <t>sev1</t>
        </is>
      </c>
      <c r="F9" s="11" t="inlineStr">
        <is>
          <t>issue</t>
        </is>
      </c>
      <c r="G9" s="11" t="inlineStr">
        <is>
          <t>status=open; severity=sev1</t>
        </is>
      </c>
      <c r="H9" s="12" t="inlineStr">
        <is>
          <t>PT1H</t>
        </is>
      </c>
      <c r="I9" s="11" t="n">
        <v>1</v>
      </c>
      <c r="J9" s="11" t="inlineStr">
        <is>
          <t>warning PT15M before due</t>
        </is>
      </c>
      <c r="K9" s="11" t="inlineStr">
        <is>
          <t>ROL-000003</t>
        </is>
      </c>
      <c r="L9" s="11" t="inlineStr"/>
      <c r="M9" s="11" t="inlineStr">
        <is>
          <t>notify_role</t>
        </is>
      </c>
      <c r="N9" s="11" t="b">
        <v>1</v>
      </c>
      <c r="O9" s="11" t="inlineStr">
        <is>
          <t>startup=required; early_scale=required; structured_growth=required; mature=required</t>
        </is>
      </c>
      <c r="P9" s="11" t="inlineStr">
        <is>
          <t>issue|open|sev1|notify_role</t>
        </is>
      </c>
    </row>
    <row r="10">
      <c r="A10" s="11" t="inlineStr">
        <is>
          <t>RUL-000006</t>
        </is>
      </c>
      <c r="B10" s="11" t="inlineStr">
        <is>
          <t>config/sla-rules.yaml</t>
        </is>
      </c>
      <c r="C10" s="12" t="inlineStr">
        <is>
          <t>9acd25a</t>
        </is>
      </c>
      <c r="D10" s="11" t="inlineStr">
        <is>
          <t>sla</t>
        </is>
      </c>
      <c r="E10" s="11" t="inlineStr">
        <is>
          <t>sev2</t>
        </is>
      </c>
      <c r="F10" s="11" t="inlineStr">
        <is>
          <t>issue</t>
        </is>
      </c>
      <c r="G10" s="11" t="inlineStr">
        <is>
          <t>status=open; severity=sev2</t>
        </is>
      </c>
      <c r="H10" s="12" t="inlineStr">
        <is>
          <t>PT4H</t>
        </is>
      </c>
      <c r="I10" s="11" t="n">
        <v>4</v>
      </c>
      <c r="J10" s="11" t="inlineStr">
        <is>
          <t>warning PT1H before due</t>
        </is>
      </c>
      <c r="K10" s="11" t="inlineStr">
        <is>
          <t>ROL-000001</t>
        </is>
      </c>
      <c r="L10" s="11" t="inlineStr"/>
      <c r="M10" s="11" t="inlineStr">
        <is>
          <t>notify_role</t>
        </is>
      </c>
      <c r="N10" s="11" t="b">
        <v>1</v>
      </c>
      <c r="O10" s="11" t="inlineStr">
        <is>
          <t>startup=recommended; early_scale=required; structured_growth=required; mature=required</t>
        </is>
      </c>
      <c r="P10" s="11" t="inlineStr">
        <is>
          <t>issue|open|sev2|notify_role</t>
        </is>
      </c>
    </row>
    <row r="11">
      <c r="A11" s="11" t="inlineStr">
        <is>
          <t>RUL-000007</t>
        </is>
      </c>
      <c r="B11" s="11" t="inlineStr">
        <is>
          <t>config/sla-rules.yaml</t>
        </is>
      </c>
      <c r="C11" s="12" t="inlineStr">
        <is>
          <t>9acd25a</t>
        </is>
      </c>
      <c r="D11" s="11" t="inlineStr">
        <is>
          <t>sla</t>
        </is>
      </c>
      <c r="E11" s="11" t="inlineStr">
        <is>
          <t>sev3</t>
        </is>
      </c>
      <c r="F11" s="11" t="inlineStr">
        <is>
          <t>issue</t>
        </is>
      </c>
      <c r="G11" s="11" t="inlineStr">
        <is>
          <t>status=open; severity=sev3</t>
        </is>
      </c>
      <c r="H11" s="12" t="inlineStr">
        <is>
          <t>PT24H</t>
        </is>
      </c>
      <c r="I11" s="11" t="n">
        <v>24</v>
      </c>
      <c r="J11" s="11" t="inlineStr">
        <is>
          <t>warning PT4H before due</t>
        </is>
      </c>
      <c r="K11" s="11" t="inlineStr"/>
      <c r="L11" s="11" t="inlineStr"/>
      <c r="M11" s="11" t="inlineStr">
        <is>
          <t>notify_owner</t>
        </is>
      </c>
      <c r="N11" s="11" t="b">
        <v>1</v>
      </c>
      <c r="O11" s="11" t="inlineStr">
        <is>
          <t>startup=optional; early_scale=recommended; structured_growth=required; mature=required</t>
        </is>
      </c>
      <c r="P11" s="11" t="inlineStr">
        <is>
          <t>issue|open|sev3|notify_owner</t>
        </is>
      </c>
    </row>
    <row r="12">
      <c r="A12" s="11" t="inlineStr">
        <is>
          <t>RUL-000008</t>
        </is>
      </c>
      <c r="B12" s="11" t="inlineStr">
        <is>
          <t>config/sla-rules.yaml</t>
        </is>
      </c>
      <c r="C12" s="12" t="inlineStr">
        <is>
          <t>9acd25a</t>
        </is>
      </c>
      <c r="D12" s="11" t="inlineStr">
        <is>
          <t>sla</t>
        </is>
      </c>
      <c r="E12" s="11" t="inlineStr">
        <is>
          <t>sev4</t>
        </is>
      </c>
      <c r="F12" s="11" t="inlineStr">
        <is>
          <t>issue</t>
        </is>
      </c>
      <c r="G12" s="11" t="inlineStr">
        <is>
          <t>status=open; severity=sev4</t>
        </is>
      </c>
      <c r="H12" s="12" t="inlineStr">
        <is>
          <t>PT72H</t>
        </is>
      </c>
      <c r="I12" s="11" t="n">
        <v>72</v>
      </c>
      <c r="J12" s="11" t="inlineStr">
        <is>
          <t>warning PT24H before due</t>
        </is>
      </c>
      <c r="K12" s="11" t="inlineStr"/>
      <c r="L12" s="11" t="inlineStr"/>
      <c r="M12" s="11" t="inlineStr">
        <is>
          <t>notify_owner</t>
        </is>
      </c>
      <c r="N12" s="11" t="b">
        <v>1</v>
      </c>
      <c r="O12" s="11" t="inlineStr">
        <is>
          <t>startup=optional; early_scale=optional; structured_growth=recommended; mature=recommended</t>
        </is>
      </c>
      <c r="P12" s="11" t="inlineStr">
        <is>
          <t>issue|open|sev4|notify_owner</t>
        </is>
      </c>
    </row>
    <row r="13">
      <c r="A13" s="11" t="inlineStr">
        <is>
          <t>RUL-000101</t>
        </is>
      </c>
      <c r="B13" s="11" t="inlineStr">
        <is>
          <t>config/lead-time-rules.yaml</t>
        </is>
      </c>
      <c r="C13" s="12" t="inlineStr">
        <is>
          <t>9acd25a</t>
        </is>
      </c>
      <c r="D13" s="11" t="inlineStr">
        <is>
          <t>lead_time</t>
        </is>
      </c>
      <c r="E13" s="11" t="inlineStr">
        <is>
          <t>enable_work_before_launch</t>
        </is>
      </c>
      <c r="F13" s="11" t="inlineStr">
        <is>
          <t>task</t>
        </is>
      </c>
      <c r="G13" s="11" t="inlineStr">
        <is>
          <t>due_before_target_launch; phase_keys=enable; critical_only=true; open_only=false</t>
        </is>
      </c>
      <c r="H13" s="12" t="inlineStr">
        <is>
          <t>P5D</t>
        </is>
      </c>
      <c r="I13" s="11" t="n">
        <v>120</v>
      </c>
      <c r="J13" s="11" t="inlineStr">
        <is>
          <t>flag only; no warning timer</t>
        </is>
      </c>
      <c r="K13" s="11" t="inlineStr"/>
      <c r="L13" s="11" t="inlineStr"/>
      <c r="M13" s="11" t="inlineStr">
        <is>
          <t>flag</t>
        </is>
      </c>
      <c r="N13" s="11" t="b">
        <v>1</v>
      </c>
      <c r="O13" s="11" t="inlineStr">
        <is>
          <t>not set in R1 for lead-time rules</t>
        </is>
      </c>
      <c r="P13" s="11" t="inlineStr">
        <is>
          <t>task|due_before_target_launch|RUL-000101</t>
        </is>
      </c>
    </row>
    <row r="14">
      <c r="A14" s="11" t="inlineStr">
        <is>
          <t>RUL-000102</t>
        </is>
      </c>
      <c r="B14" s="11" t="inlineStr">
        <is>
          <t>config/lead-time-rules.yaml</t>
        </is>
      </c>
      <c r="C14" s="12" t="inlineStr">
        <is>
          <t>9acd25a</t>
        </is>
      </c>
      <c r="D14" s="11" t="inlineStr">
        <is>
          <t>lead_time</t>
        </is>
      </c>
      <c r="E14" s="11" t="inlineStr">
        <is>
          <t>validation_before_launch</t>
        </is>
      </c>
      <c r="F14" s="11" t="inlineStr">
        <is>
          <t>task</t>
        </is>
      </c>
      <c r="G14" s="11" t="inlineStr">
        <is>
          <t>due_before_target_launch; phase_keys=validate; critical_only=false; open_only=false</t>
        </is>
      </c>
      <c r="H14" s="12" t="inlineStr">
        <is>
          <t>P10D</t>
        </is>
      </c>
      <c r="I14" s="11" t="n">
        <v>240</v>
      </c>
      <c r="J14" s="11" t="inlineStr">
        <is>
          <t>flag only; no warning timer</t>
        </is>
      </c>
      <c r="K14" s="11" t="inlineStr"/>
      <c r="L14" s="11" t="inlineStr"/>
      <c r="M14" s="11" t="inlineStr">
        <is>
          <t>flag</t>
        </is>
      </c>
      <c r="N14" s="11" t="b">
        <v>1</v>
      </c>
      <c r="O14" s="11" t="inlineStr">
        <is>
          <t>not set in R1 for lead-time rules</t>
        </is>
      </c>
      <c r="P14" s="11" t="inlineStr">
        <is>
          <t>task|due_before_target_launch|RUL-000102</t>
        </is>
      </c>
    </row>
    <row r="15">
      <c r="A15" s="11" t="inlineStr">
        <is>
          <t>RUL-000103</t>
        </is>
      </c>
      <c r="B15" s="11" t="inlineStr">
        <is>
          <t>config/lead-time-rules.yaml</t>
        </is>
      </c>
      <c r="C15" s="12" t="inlineStr">
        <is>
          <t>9acd25a</t>
        </is>
      </c>
      <c r="D15" s="11" t="inlineStr">
        <is>
          <t>lead_time</t>
        </is>
      </c>
      <c r="E15" s="11" t="inlineStr">
        <is>
          <t>critical_work_before_milestone</t>
        </is>
      </c>
      <c r="F15" s="11" t="inlineStr">
        <is>
          <t>task</t>
        </is>
      </c>
      <c r="G15" s="11" t="inlineStr">
        <is>
          <t>due_before_milestone; phase_keys=all; critical_only=true; open_only=false</t>
        </is>
      </c>
      <c r="H15" s="12" t="inlineStr">
        <is>
          <t>P0D</t>
        </is>
      </c>
      <c r="I15" s="11" t="n">
        <v>0</v>
      </c>
      <c r="J15" s="11" t="inlineStr">
        <is>
          <t>flag only; no warning timer</t>
        </is>
      </c>
      <c r="K15" s="11" t="inlineStr"/>
      <c r="L15" s="11" t="inlineStr"/>
      <c r="M15" s="11" t="inlineStr">
        <is>
          <t>flag</t>
        </is>
      </c>
      <c r="N15" s="11" t="b">
        <v>1</v>
      </c>
      <c r="O15" s="11" t="inlineStr">
        <is>
          <t>not set in R1 for lead-time rules</t>
        </is>
      </c>
      <c r="P15" s="11" t="inlineStr">
        <is>
          <t>task|due_before_milestone|RUL-000103</t>
        </is>
      </c>
    </row>
    <row r="16">
      <c r="A16" s="11" t="inlineStr">
        <is>
          <t>RUL-000104</t>
        </is>
      </c>
      <c r="B16" s="11" t="inlineStr">
        <is>
          <t>config/lead-time-rules.yaml</t>
        </is>
      </c>
      <c r="C16" s="12" t="inlineStr">
        <is>
          <t>9acd25a</t>
        </is>
      </c>
      <c r="D16" s="11" t="inlineStr">
        <is>
          <t>lead_time</t>
        </is>
      </c>
      <c r="E16" s="11" t="inlineStr">
        <is>
          <t>predecessors_finish_first</t>
        </is>
      </c>
      <c r="F16" s="11" t="inlineStr">
        <is>
          <t>task</t>
        </is>
      </c>
      <c r="G16" s="11" t="inlineStr">
        <is>
          <t>start_after_predecessors; phase_keys=all; critical_only=false; open_only=true</t>
        </is>
      </c>
      <c r="H16" s="12" t="inlineStr">
        <is>
          <t>P0D</t>
        </is>
      </c>
      <c r="I16" s="11" t="n">
        <v>0</v>
      </c>
      <c r="J16" s="11" t="inlineStr">
        <is>
          <t>flag only; no warning timer</t>
        </is>
      </c>
      <c r="K16" s="11" t="inlineStr"/>
      <c r="L16" s="11" t="inlineStr"/>
      <c r="M16" s="11" t="inlineStr">
        <is>
          <t>flag</t>
        </is>
      </c>
      <c r="N16" s="11" t="b">
        <v>1</v>
      </c>
      <c r="O16" s="11" t="inlineStr">
        <is>
          <t>not set in R1 for lead-time rules</t>
        </is>
      </c>
      <c r="P16" s="11" t="inlineStr">
        <is>
          <t>task|start_after_predecessors|RUL-000104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10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4" customWidth="1" min="4" max="4"/>
    <col width="40" customWidth="1" min="5" max="5"/>
    <col width="14" customWidth="1" min="6" max="6"/>
    <col width="14" customWidth="1" min="7" max="7"/>
    <col width="10" customWidth="1" min="8" max="8"/>
    <col width="14" customWidth="1" min="9" max="9"/>
    <col width="14" customWidth="1" min="10" max="10"/>
    <col width="40" customWidth="1" min="11" max="11"/>
    <col width="20" customWidth="1" min="12" max="12"/>
    <col width="20" customWidth="1" min="13" max="13"/>
    <col width="14" customWidth="1" min="14" max="14"/>
    <col width="12" customWidth="1" min="15" max="15"/>
    <col width="12" customWidth="1" min="16" max="16"/>
    <col width="16" customWidth="1" min="17" max="17"/>
    <col width="20" customWidth="1" min="18" max="18"/>
    <col width="14" customWidth="1" min="20" max="20"/>
    <col width="14" customWidth="1" min="21" max="21"/>
    <col width="14" customWidth="1" min="22" max="22"/>
    <col width="34" customWidth="1" min="23" max="23"/>
    <col width="40" customWidth="1" min="24" max="24"/>
    <col width="14" customWidth="1" min="25" max="25"/>
    <col width="14" customWidth="1" min="26" max="26"/>
    <col width="14" customWidth="1" min="27" max="27"/>
    <col width="20" customWidth="1" min="28" max="28"/>
    <col width="20" customWidth="1" min="29" max="29"/>
    <col width="34" customWidth="1" min="30" max="30"/>
    <col width="14" customWidth="1" min="31" max="31"/>
    <col width="14" customWidth="1" min="32" max="32"/>
    <col width="16" customWidth="1" min="33" max="33"/>
    <col width="22" customWidth="1" min="34" max="34"/>
  </cols>
  <sheetData>
    <row r="1">
      <c r="A1" s="1" t="inlineStr">
        <is>
          <t>Risks and Issues</t>
        </is>
      </c>
    </row>
    <row r="2">
      <c r="A2" s="9" t="inlineStr">
        <is>
          <t>risk_score is calculated (likelihood x impact on the R1 scale); never type it. Severity values come from the R1 standard.</t>
        </is>
      </c>
    </row>
    <row r="3">
      <c r="A3" s="3" t="inlineStr">
        <is>
          <t>Risks (R1 risk records; risk_score is calculated, never typed)</t>
        </is>
      </c>
      <c r="T3" s="3" t="inlineStr">
        <is>
          <t>Issues (R1 issue records; severity from R1 standard)</t>
        </is>
      </c>
    </row>
    <row r="4">
      <c r="A4" s="5" t="inlineStr">
        <is>
          <t>risk_id</t>
        </is>
      </c>
      <c r="B4" s="5" t="inlineStr">
        <is>
          <t>project_id</t>
        </is>
      </c>
      <c r="C4" s="5" t="inlineStr">
        <is>
          <t>phase_id</t>
        </is>
      </c>
      <c r="D4" s="5" t="inlineStr">
        <is>
          <t>title</t>
        </is>
      </c>
      <c r="E4" s="5" t="inlineStr">
        <is>
          <t>description</t>
        </is>
      </c>
      <c r="F4" s="5" t="inlineStr">
        <is>
          <t>likelihood</t>
        </is>
      </c>
      <c r="G4" s="5" t="inlineStr">
        <is>
          <t>impact</t>
        </is>
      </c>
      <c r="H4" s="13" t="inlineStr">
        <is>
          <t>risk_score</t>
        </is>
      </c>
      <c r="I4" s="5" t="inlineStr">
        <is>
          <t>status</t>
        </is>
      </c>
      <c r="J4" s="5" t="inlineStr">
        <is>
          <t>owner_role_id</t>
        </is>
      </c>
      <c r="K4" s="5" t="inlineStr">
        <is>
          <t>mitigation</t>
        </is>
      </c>
      <c r="L4" s="5" t="inlineStr">
        <is>
          <t>identified_at</t>
        </is>
      </c>
      <c r="M4" s="5" t="inlineStr">
        <is>
          <t>resolved_at</t>
        </is>
      </c>
      <c r="N4" s="5" t="inlineStr">
        <is>
          <t>schema_version</t>
        </is>
      </c>
      <c r="O4" s="13" t="inlineStr">
        <is>
          <t>risk_band</t>
        </is>
      </c>
      <c r="P4" s="13" t="inlineStr">
        <is>
          <t>risk_severity</t>
        </is>
      </c>
      <c r="Q4" s="13" t="inlineStr">
        <is>
          <t>reference_check</t>
        </is>
      </c>
      <c r="R4" s="13" t="inlineStr">
        <is>
          <t>event_evidence</t>
        </is>
      </c>
      <c r="T4" s="5" t="inlineStr">
        <is>
          <t>issue_id</t>
        </is>
      </c>
      <c r="U4" s="5" t="inlineStr">
        <is>
          <t>project_id</t>
        </is>
      </c>
      <c r="V4" s="5" t="inlineStr">
        <is>
          <t>phase_id</t>
        </is>
      </c>
      <c r="W4" s="5" t="inlineStr">
        <is>
          <t>title</t>
        </is>
      </c>
      <c r="X4" s="5" t="inlineStr">
        <is>
          <t>description</t>
        </is>
      </c>
      <c r="Y4" s="5" t="inlineStr">
        <is>
          <t>severity</t>
        </is>
      </c>
      <c r="Z4" s="5" t="inlineStr">
        <is>
          <t>status</t>
        </is>
      </c>
      <c r="AA4" s="5" t="inlineStr">
        <is>
          <t>owner_role_id</t>
        </is>
      </c>
      <c r="AB4" s="5" t="inlineStr">
        <is>
          <t>opened_at</t>
        </is>
      </c>
      <c r="AC4" s="5" t="inlineStr">
        <is>
          <t>resolved_at</t>
        </is>
      </c>
      <c r="AD4" s="5" t="inlineStr">
        <is>
          <t>resolution</t>
        </is>
      </c>
      <c r="AE4" s="5" t="inlineStr">
        <is>
          <t>schema_version</t>
        </is>
      </c>
      <c r="AF4" s="13" t="inlineStr">
        <is>
          <t>severity_check</t>
        </is>
      </c>
      <c r="AG4" s="13" t="inlineStr">
        <is>
          <t>reference_check</t>
        </is>
      </c>
      <c r="AH4" s="13" t="inlineStr">
        <is>
          <t>event_evidence</t>
        </is>
      </c>
    </row>
    <row r="5">
      <c r="A5" s="6" t="inlineStr">
        <is>
          <t>RSK-000001</t>
        </is>
      </c>
      <c r="B5" s="6" t="inlineStr">
        <is>
          <t>PRJ-000001</t>
        </is>
      </c>
      <c r="C5" s="6" t="inlineStr">
        <is>
          <t>PHS-000002</t>
        </is>
      </c>
      <c r="D5" s="6" t="inlineStr">
        <is>
          <t>Key stakeholders have limited time during discovery</t>
        </is>
      </c>
      <c r="E5" s="6" t="inlineStr">
        <is>
          <t>Discovery sessions may slip if the customer's process owners are unavailable.</t>
        </is>
      </c>
      <c r="F5" s="7" t="n">
        <v>3</v>
      </c>
      <c r="G5" s="7" t="n">
        <v>2</v>
      </c>
      <c r="H5" s="14">
        <f>IF(tblRisks[[#This Row],[risk_id]]="","",IF(AND(ISNUMBER(tblRisks[[#This Row],[likelihood]]),ISNUMBER(tblRisks[[#This Row],[impact]])),IF(AND(tblRisks[[#This Row],[likelihood]]=INT(tblRisks[[#This Row],[likelihood]]),tblRisks[[#This Row],[impact]]=INT(tblRisks[[#This Row],[impact]]),tblRisks[[#This Row],[likelihood]]&gt;=risk_likelihood_min,tblRisks[[#This Row],[likelihood]]&lt;=risk_likelihood_max,tblRisks[[#This Row],[impact]]&gt;=risk_impact_min,tblRisks[[#This Row],[impact]]&lt;=risk_impact_max),tblRisks[[#This Row],[likelihood]]*tblRisks[[#This Row],[impact]],"invalid_scale_value"),"invalid_scale_value"))</f>
        <v/>
      </c>
      <c r="I5" s="6" t="inlineStr">
        <is>
          <t>open</t>
        </is>
      </c>
      <c r="J5" s="6" t="inlineStr">
        <is>
          <t>ROL-000001</t>
        </is>
      </c>
      <c r="K5" s="6" t="inlineStr">
        <is>
          <t>Book discovery sessions two weeks ahead and share agendas early.</t>
        </is>
      </c>
      <c r="L5" s="6" t="inlineStr">
        <is>
          <t>2026-09-17T15:00:00Z</t>
        </is>
      </c>
      <c r="M5" s="6" t="n"/>
      <c r="N5" s="6" t="inlineStr">
        <is>
          <t>0.1.0</t>
        </is>
      </c>
      <c r="O5" s="14">
        <f>IF(tblRisks[[#This Row],[risk_id]]="","",IF(ISNUMBER(tblRisks[[#This Row],[risk_score]]),IFERROR(INDEX(tblRiskBands[band],MATCH(tblRisks[[#This Row],[risk_score]],tblRiskBands[min_score],1)),"no_band"),"invalid_scale_value"))</f>
        <v/>
      </c>
      <c r="P5" s="14">
        <f>IF(tblRisks[[#This Row],[risk_id]]="","",IF(ISNUMBER(tblRisks[[#This Row],[risk_score]]),IFERROR(INDEX(tblRiskBands[severity],MATCH(tblRisks[[#This Row],[risk_score]],tblRiskBands[min_score],1)),"no_band"),"invalid_scale_value"))</f>
        <v/>
      </c>
      <c r="Q5" s="14">
        <f>IF(tblRisks[[#This Row],[risk_id]]="","",IF(COUNTIF(tblProjects[project_id],tblRisks[[#This Row],[project_id]])=0,"orphan_project",IF(COUNTIFS(tblPhases[phase_id],tblRisks[[#This Row],[phase_id]],tblPhases[project_id],tblRisks[[#This Row],[project_id]])=0,"orphan_phase","valid")))</f>
        <v/>
      </c>
      <c r="R5" s="14">
        <f>IF(tblRisks[[#This Row],[risk_id]]="","",IF(AND(TRUE,tblRisks[[#This Row],[identified_at]]&gt;=event_reconciliation_from_at,COUNTIFS(tblEventLog[subject_id],tblRisks[[#This Row],[risk_id]],tblEventLog[event_type],"risk.logged")=0),"missing:risk.logged",IF(OR(AND(TRUE,tblRisks[[#This Row],[identified_at]]&gt;=event_reconciliation_from_at)),"logged","before_window")))</f>
        <v/>
      </c>
      <c r="T5" s="6" t="inlineStr">
        <is>
          <t>ISS-000001</t>
        </is>
      </c>
      <c r="U5" s="6" t="inlineStr">
        <is>
          <t>PRJ-000002</t>
        </is>
      </c>
      <c r="V5" s="6" t="inlineStr">
        <is>
          <t>PHS-000006</t>
        </is>
      </c>
      <c r="W5" s="6" t="inlineStr">
        <is>
          <t>Build environment access expired for one specialist</t>
        </is>
      </c>
      <c r="X5" s="6" t="inlineStr">
        <is>
          <t>One technical specialist could not sign in to the build environment.</t>
        </is>
      </c>
      <c r="Y5" s="6" t="inlineStr">
        <is>
          <t>sev3</t>
        </is>
      </c>
      <c r="Z5" s="6" t="inlineStr">
        <is>
          <t>resolved</t>
        </is>
      </c>
      <c r="AA5" s="6" t="inlineStr">
        <is>
          <t>ROL-000004</t>
        </is>
      </c>
      <c r="AB5" s="6" t="inlineStr">
        <is>
          <t>2026-09-14T14:00:00Z</t>
        </is>
      </c>
      <c r="AC5" s="6" t="inlineStr">
        <is>
          <t>2026-09-15T11:00:00Z</t>
        </is>
      </c>
      <c r="AD5" s="6" t="inlineStr">
        <is>
          <t>Access was renewed by the customer contact.</t>
        </is>
      </c>
      <c r="AE5" s="6" t="inlineStr">
        <is>
          <t>0.1.0</t>
        </is>
      </c>
      <c r="AF5" s="14">
        <f>IF(tblIssues[[#This Row],[issue_id]]="","",IF(COUNTIFS(tblLookupEntries[lookup_type],"severity",tblLookupEntries[key],tblIssues[[#This Row],[severity]])&gt;0,"valid","invalid_severity"))</f>
        <v/>
      </c>
      <c r="AG5" s="14">
        <f>IF(tblIssues[[#This Row],[issue_id]]="","",IF(COUNTIF(tblProjects[project_id],tblIssues[[#This Row],[project_id]])=0,"orphan_project",IF(COUNTIFS(tblPhases[phase_id],tblIssues[[#This Row],[phase_id]],tblPhases[project_id],tblIssues[[#This Row],[project_id]])=0,"orphan_phase","valid")))</f>
        <v/>
      </c>
      <c r="AH5" s="14">
        <f>IF(tblIssues[[#This Row],[issue_id]]="","",IF(AND(TRUE,tblIssues[[#This Row],[opened_at]]&gt;=event_reconciliation_from_at,COUNTIFS(tblEventLog[subject_id],tblIssues[[#This Row],[issue_id]],tblEventLog[event_type],"issue.logged")=0),"missing:issue.logged",IF(AND(OR(tblIssues[[#This Row],[status]]="resolved",tblIssues[[#This Row],[status]]="closed"),tblIssues[[#This Row],[resolved_at]]&gt;=event_reconciliation_from_at,COUNTIFS(tblEventLog[subject_id],tblIssues[[#This Row],[issue_id]],tblEventLog[event_type],"issue.resolved")=0),"missing:issue.resolved",IF(OR(AND(TRUE,tblIssues[[#This Row],[opened_at]]&gt;=event_reconciliation_from_at),AND(OR(tblIssues[[#This Row],[status]]="resolved",tblIssues[[#This Row],[status]]="closed"),tblIssues[[#This Row],[resolved_at]]&gt;=event_reconciliation_from_at)),"logged","before_window"))))</f>
        <v/>
      </c>
    </row>
    <row r="6">
      <c r="A6" s="6" t="inlineStr">
        <is>
          <t>RSK-000002</t>
        </is>
      </c>
      <c r="B6" s="6" t="inlineStr">
        <is>
          <t>PRJ-000002</t>
        </is>
      </c>
      <c r="C6" s="6" t="inlineStr">
        <is>
          <t>PHS-000005</t>
        </is>
      </c>
      <c r="D6" s="6" t="inlineStr">
        <is>
          <t>Integration access may be delayed</t>
        </is>
      </c>
      <c r="E6" s="6" t="inlineStr">
        <is>
          <t>Customer credentials for the integration may not arrive before build starts.</t>
        </is>
      </c>
      <c r="F6" s="7" t="n">
        <v>4</v>
      </c>
      <c r="G6" s="7" t="n">
        <v>3</v>
      </c>
      <c r="H6" s="14">
        <f>IF(tblRisks[[#This Row],[risk_id]]="","",IF(AND(ISNUMBER(tblRisks[[#This Row],[likelihood]]),ISNUMBER(tblRisks[[#This Row],[impact]])),IF(AND(tblRisks[[#This Row],[likelihood]]=INT(tblRisks[[#This Row],[likelihood]]),tblRisks[[#This Row],[impact]]=INT(tblRisks[[#This Row],[impact]]),tblRisks[[#This Row],[likelihood]]&gt;=risk_likelihood_min,tblRisks[[#This Row],[likelihood]]&lt;=risk_likelihood_max,tblRisks[[#This Row],[impact]]&gt;=risk_impact_min,tblRisks[[#This Row],[impact]]&lt;=risk_impact_max),tblRisks[[#This Row],[likelihood]]*tblRisks[[#This Row],[impact]],"invalid_scale_value"),"invalid_scale_value"))</f>
        <v/>
      </c>
      <c r="I6" s="6" t="inlineStr">
        <is>
          <t>mitigating</t>
        </is>
      </c>
      <c r="J6" s="6" t="inlineStr">
        <is>
          <t>ROL-000001</t>
        </is>
      </c>
      <c r="K6" s="6" t="inlineStr">
        <is>
          <t>Request access early and escalate through the blocked-request rule.</t>
        </is>
      </c>
      <c r="L6" s="6" t="inlineStr">
        <is>
          <t>2026-09-10T15:00:00Z</t>
        </is>
      </c>
      <c r="M6" s="6" t="n"/>
      <c r="N6" s="6" t="inlineStr">
        <is>
          <t>0.1.0</t>
        </is>
      </c>
      <c r="O6" s="14">
        <f>IF(tblRisks[[#This Row],[risk_id]]="","",IF(ISNUMBER(tblRisks[[#This Row],[risk_score]]),IFERROR(INDEX(tblRiskBands[band],MATCH(tblRisks[[#This Row],[risk_score]],tblRiskBands[min_score],1)),"no_band"),"invalid_scale_value"))</f>
        <v/>
      </c>
      <c r="P6" s="14">
        <f>IF(tblRisks[[#This Row],[risk_id]]="","",IF(ISNUMBER(tblRisks[[#This Row],[risk_score]]),IFERROR(INDEX(tblRiskBands[severity],MATCH(tblRisks[[#This Row],[risk_score]],tblRiskBands[min_score],1)),"no_band"),"invalid_scale_value"))</f>
        <v/>
      </c>
      <c r="Q6" s="14">
        <f>IF(tblRisks[[#This Row],[risk_id]]="","",IF(COUNTIF(tblProjects[project_id],tblRisks[[#This Row],[project_id]])=0,"orphan_project",IF(COUNTIFS(tblPhases[phase_id],tblRisks[[#This Row],[phase_id]],tblPhases[project_id],tblRisks[[#This Row],[project_id]])=0,"orphan_phase","valid")))</f>
        <v/>
      </c>
      <c r="R6" s="14">
        <f>IF(tblRisks[[#This Row],[risk_id]]="","",IF(AND(TRUE,tblRisks[[#This Row],[identified_at]]&gt;=event_reconciliation_from_at,COUNTIFS(tblEventLog[subject_id],tblRisks[[#This Row],[risk_id]],tblEventLog[event_type],"risk.logged")=0),"missing:risk.logged",IF(OR(AND(TRUE,tblRisks[[#This Row],[identified_at]]&gt;=event_reconciliation_from_at)),"logged","before_window")))</f>
        <v/>
      </c>
      <c r="T6" s="6" t="inlineStr">
        <is>
          <t>ISS-000002</t>
        </is>
      </c>
      <c r="U6" s="6" t="inlineStr">
        <is>
          <t>PRJ-000002</t>
        </is>
      </c>
      <c r="V6" s="6" t="inlineStr">
        <is>
          <t>PHS-000006</t>
        </is>
      </c>
      <c r="W6" s="6" t="inlineStr">
        <is>
          <t>Integration cannot be tested without credentials</t>
        </is>
      </c>
      <c r="X6" s="6" t="inlineStr">
        <is>
          <t>End-to-end integration testing is stopped until access is provided.</t>
        </is>
      </c>
      <c r="Y6" s="6" t="inlineStr">
        <is>
          <t>sev2</t>
        </is>
      </c>
      <c r="Z6" s="6" t="inlineStr">
        <is>
          <t>in_progress</t>
        </is>
      </c>
      <c r="AA6" s="6" t="inlineStr">
        <is>
          <t>ROL-000004</t>
        </is>
      </c>
      <c r="AB6" s="6" t="inlineStr">
        <is>
          <t>2026-09-24T17:00:00Z</t>
        </is>
      </c>
      <c r="AC6" s="6" t="n"/>
      <c r="AD6" s="6" t="n"/>
      <c r="AE6" s="6" t="inlineStr">
        <is>
          <t>0.1.0</t>
        </is>
      </c>
      <c r="AF6" s="14">
        <f>IF(tblIssues[[#This Row],[issue_id]]="","",IF(COUNTIFS(tblLookupEntries[lookup_type],"severity",tblLookupEntries[key],tblIssues[[#This Row],[severity]])&gt;0,"valid","invalid_severity"))</f>
        <v/>
      </c>
      <c r="AG6" s="14">
        <f>IF(tblIssues[[#This Row],[issue_id]]="","",IF(COUNTIF(tblProjects[project_id],tblIssues[[#This Row],[project_id]])=0,"orphan_project",IF(COUNTIFS(tblPhases[phase_id],tblIssues[[#This Row],[phase_id]],tblPhases[project_id],tblIssues[[#This Row],[project_id]])=0,"orphan_phase","valid")))</f>
        <v/>
      </c>
      <c r="AH6" s="14">
        <f>IF(tblIssues[[#This Row],[issue_id]]="","",IF(AND(TRUE,tblIssues[[#This Row],[opened_at]]&gt;=event_reconciliation_from_at,COUNTIFS(tblEventLog[subject_id],tblIssues[[#This Row],[issue_id]],tblEventLog[event_type],"issue.logged")=0),"missing:issue.logged",IF(AND(OR(tblIssues[[#This Row],[status]]="resolved",tblIssues[[#This Row],[status]]="closed"),tblIssues[[#This Row],[resolved_at]]&gt;=event_reconciliation_from_at,COUNTIFS(tblEventLog[subject_id],tblIssues[[#This Row],[issue_id]],tblEventLog[event_type],"issue.resolved")=0),"missing:issue.resolved",IF(OR(AND(TRUE,tblIssues[[#This Row],[opened_at]]&gt;=event_reconciliation_from_at),AND(OR(tblIssues[[#This Row],[status]]="resolved",tblIssues[[#This Row],[status]]="closed"),tblIssues[[#This Row],[resolved_at]]&gt;=event_reconciliation_from_at)),"logged","before_window"))))</f>
        <v/>
      </c>
    </row>
    <row r="7">
      <c r="A7" s="6" t="inlineStr">
        <is>
          <t>RSK-000003</t>
        </is>
      </c>
      <c r="B7" s="6" t="inlineStr">
        <is>
          <t>PRJ-000002</t>
        </is>
      </c>
      <c r="C7" s="6" t="inlineStr">
        <is>
          <t>PHS-000006</t>
        </is>
      </c>
      <c r="D7" s="6" t="inlineStr">
        <is>
          <t>Reference data quality is unknown</t>
        </is>
      </c>
      <c r="E7" s="6" t="inlineStr">
        <is>
          <t>The reference data file has not been checked and may need cleanup before loading.</t>
        </is>
      </c>
      <c r="F7" s="7" t="n">
        <v>3</v>
      </c>
      <c r="G7" s="7" t="n">
        <v>3</v>
      </c>
      <c r="H7" s="14">
        <f>IF(tblRisks[[#This Row],[risk_id]]="","",IF(AND(ISNUMBER(tblRisks[[#This Row],[likelihood]]),ISNUMBER(tblRisks[[#This Row],[impact]])),IF(AND(tblRisks[[#This Row],[likelihood]]=INT(tblRisks[[#This Row],[likelihood]]),tblRisks[[#This Row],[impact]]=INT(tblRisks[[#This Row],[impact]]),tblRisks[[#This Row],[likelihood]]&gt;=risk_likelihood_min,tblRisks[[#This Row],[likelihood]]&lt;=risk_likelihood_max,tblRisks[[#This Row],[impact]]&gt;=risk_impact_min,tblRisks[[#This Row],[impact]]&lt;=risk_impact_max),tblRisks[[#This Row],[likelihood]]*tblRisks[[#This Row],[impact]],"invalid_scale_value"),"invalid_scale_value"))</f>
        <v/>
      </c>
      <c r="I7" s="6" t="inlineStr">
        <is>
          <t>open</t>
        </is>
      </c>
      <c r="J7" s="6" t="inlineStr">
        <is>
          <t>ROL-000004</t>
        </is>
      </c>
      <c r="K7" s="6" t="inlineStr">
        <is>
          <t>Run a sample load and review errors with the customer contact.</t>
        </is>
      </c>
      <c r="L7" s="6" t="inlineStr">
        <is>
          <t>2026-09-22T15:00:00Z</t>
        </is>
      </c>
      <c r="M7" s="6" t="n"/>
      <c r="N7" s="6" t="inlineStr">
        <is>
          <t>0.1.0</t>
        </is>
      </c>
      <c r="O7" s="14">
        <f>IF(tblRisks[[#This Row],[risk_id]]="","",IF(ISNUMBER(tblRisks[[#This Row],[risk_score]]),IFERROR(INDEX(tblRiskBands[band],MATCH(tblRisks[[#This Row],[risk_score]],tblRiskBands[min_score],1)),"no_band"),"invalid_scale_value"))</f>
        <v/>
      </c>
      <c r="P7" s="14">
        <f>IF(tblRisks[[#This Row],[risk_id]]="","",IF(ISNUMBER(tblRisks[[#This Row],[risk_score]]),IFERROR(INDEX(tblRiskBands[severity],MATCH(tblRisks[[#This Row],[risk_score]],tblRiskBands[min_score],1)),"no_band"),"invalid_scale_value"))</f>
        <v/>
      </c>
      <c r="Q7" s="14">
        <f>IF(tblRisks[[#This Row],[risk_id]]="","",IF(COUNTIF(tblProjects[project_id],tblRisks[[#This Row],[project_id]])=0,"orphan_project",IF(COUNTIFS(tblPhases[phase_id],tblRisks[[#This Row],[phase_id]],tblPhases[project_id],tblRisks[[#This Row],[project_id]])=0,"orphan_phase","valid")))</f>
        <v/>
      </c>
      <c r="R7" s="14">
        <f>IF(tblRisks[[#This Row],[risk_id]]="","",IF(AND(TRUE,tblRisks[[#This Row],[identified_at]]&gt;=event_reconciliation_from_at,COUNTIFS(tblEventLog[subject_id],tblRisks[[#This Row],[risk_id]],tblEventLog[event_type],"risk.logged")=0),"missing:risk.logged",IF(OR(AND(TRUE,tblRisks[[#This Row],[identified_at]]&gt;=event_reconciliation_from_at)),"logged","before_window")))</f>
        <v/>
      </c>
      <c r="T7" s="6" t="inlineStr">
        <is>
          <t>ISS-000003</t>
        </is>
      </c>
      <c r="U7" s="6" t="inlineStr">
        <is>
          <t>PRJ-000003</t>
        </is>
      </c>
      <c r="V7" s="6" t="inlineStr">
        <is>
          <t>PHS-000013</t>
        </is>
      </c>
      <c r="W7" s="6" t="inlineStr">
        <is>
          <t>Two report filters return wrong totals</t>
        </is>
      </c>
      <c r="X7" s="6" t="inlineStr">
        <is>
          <t>Two filters double-count records during acceptance testing.</t>
        </is>
      </c>
      <c r="Y7" s="6" t="inlineStr">
        <is>
          <t>sev3</t>
        </is>
      </c>
      <c r="Z7" s="6" t="inlineStr">
        <is>
          <t>closed</t>
        </is>
      </c>
      <c r="AA7" s="6" t="inlineStr">
        <is>
          <t>ROL-000004</t>
        </is>
      </c>
      <c r="AB7" s="6" t="inlineStr">
        <is>
          <t>2026-09-02T14:00:00Z</t>
        </is>
      </c>
      <c r="AC7" s="6" t="inlineStr">
        <is>
          <t>2026-09-08T16:00:00Z</t>
        </is>
      </c>
      <c r="AD7" s="6" t="inlineStr">
        <is>
          <t>Filter logic was corrected and retested.</t>
        </is>
      </c>
      <c r="AE7" s="6" t="inlineStr">
        <is>
          <t>0.1.0</t>
        </is>
      </c>
      <c r="AF7" s="14">
        <f>IF(tblIssues[[#This Row],[issue_id]]="","",IF(COUNTIFS(tblLookupEntries[lookup_type],"severity",tblLookupEntries[key],tblIssues[[#This Row],[severity]])&gt;0,"valid","invalid_severity"))</f>
        <v/>
      </c>
      <c r="AG7" s="14">
        <f>IF(tblIssues[[#This Row],[issue_id]]="","",IF(COUNTIF(tblProjects[project_id],tblIssues[[#This Row],[project_id]])=0,"orphan_project",IF(COUNTIFS(tblPhases[phase_id],tblIssues[[#This Row],[phase_id]],tblPhases[project_id],tblIssues[[#This Row],[project_id]])=0,"orphan_phase","valid")))</f>
        <v/>
      </c>
      <c r="AH7" s="14">
        <f>IF(tblIssues[[#This Row],[issue_id]]="","",IF(AND(TRUE,tblIssues[[#This Row],[opened_at]]&gt;=event_reconciliation_from_at,COUNTIFS(tblEventLog[subject_id],tblIssues[[#This Row],[issue_id]],tblEventLog[event_type],"issue.logged")=0),"missing:issue.logged",IF(AND(OR(tblIssues[[#This Row],[status]]="resolved",tblIssues[[#This Row],[status]]="closed"),tblIssues[[#This Row],[resolved_at]]&gt;=event_reconciliation_from_at,COUNTIFS(tblEventLog[subject_id],tblIssues[[#This Row],[issue_id]],tblEventLog[event_type],"issue.resolved")=0),"missing:issue.resolved",IF(OR(AND(TRUE,tblIssues[[#This Row],[opened_at]]&gt;=event_reconciliation_from_at),AND(OR(tblIssues[[#This Row],[status]]="resolved",tblIssues[[#This Row],[status]]="closed"),tblIssues[[#This Row],[resolved_at]]&gt;=event_reconciliation_from_at)),"logged","before_window"))))</f>
        <v/>
      </c>
    </row>
    <row r="8">
      <c r="A8" s="6" t="inlineStr">
        <is>
          <t>RSK-000004</t>
        </is>
      </c>
      <c r="B8" s="6" t="inlineStr">
        <is>
          <t>PRJ-000002</t>
        </is>
      </c>
      <c r="C8" s="6" t="inlineStr">
        <is>
          <t>PHS-000004</t>
        </is>
      </c>
      <c r="D8" s="6" t="inlineStr">
        <is>
          <t>Sponsor may change during discovery</t>
        </is>
      </c>
      <c r="E8" s="6" t="inlineStr">
        <is>
          <t>A change of customer sponsor could reopen agreed requirements.</t>
        </is>
      </c>
      <c r="F8" s="7" t="n">
        <v>2</v>
      </c>
      <c r="G8" s="7" t="n">
        <v>4</v>
      </c>
      <c r="H8" s="14">
        <f>IF(tblRisks[[#This Row],[risk_id]]="","",IF(AND(ISNUMBER(tblRisks[[#This Row],[likelihood]]),ISNUMBER(tblRisks[[#This Row],[impact]])),IF(AND(tblRisks[[#This Row],[likelihood]]=INT(tblRisks[[#This Row],[likelihood]]),tblRisks[[#This Row],[impact]]=INT(tblRisks[[#This Row],[impact]]),tblRisks[[#This Row],[likelihood]]&gt;=risk_likelihood_min,tblRisks[[#This Row],[likelihood]]&lt;=risk_likelihood_max,tblRisks[[#This Row],[impact]]&gt;=risk_impact_min,tblRisks[[#This Row],[impact]]&lt;=risk_impact_max),tblRisks[[#This Row],[likelihood]]*tblRisks[[#This Row],[impact]],"invalid_scale_value"),"invalid_scale_value"))</f>
        <v/>
      </c>
      <c r="I8" s="6" t="inlineStr">
        <is>
          <t>closed</t>
        </is>
      </c>
      <c r="J8" s="6" t="inlineStr">
        <is>
          <t>ROL-000001</t>
        </is>
      </c>
      <c r="K8" s="6" t="inlineStr">
        <is>
          <t>Confirmed the sponsor for the full project with the customer.</t>
        </is>
      </c>
      <c r="L8" s="6" t="inlineStr">
        <is>
          <t>2026-06-20T15:00:00Z</t>
        </is>
      </c>
      <c r="M8" s="6" t="inlineStr">
        <is>
          <t>2026-07-03T15:00:00Z</t>
        </is>
      </c>
      <c r="N8" s="6" t="inlineStr">
        <is>
          <t>0.1.0</t>
        </is>
      </c>
      <c r="O8" s="14">
        <f>IF(tblRisks[[#This Row],[risk_id]]="","",IF(ISNUMBER(tblRisks[[#This Row],[risk_score]]),IFERROR(INDEX(tblRiskBands[band],MATCH(tblRisks[[#This Row],[risk_score]],tblRiskBands[min_score],1)),"no_band"),"invalid_scale_value"))</f>
        <v/>
      </c>
      <c r="P8" s="14">
        <f>IF(tblRisks[[#This Row],[risk_id]]="","",IF(ISNUMBER(tblRisks[[#This Row],[risk_score]]),IFERROR(INDEX(tblRiskBands[severity],MATCH(tblRisks[[#This Row],[risk_score]],tblRiskBands[min_score],1)),"no_band"),"invalid_scale_value"))</f>
        <v/>
      </c>
      <c r="Q8" s="14">
        <f>IF(tblRisks[[#This Row],[risk_id]]="","",IF(COUNTIF(tblProjects[project_id],tblRisks[[#This Row],[project_id]])=0,"orphan_project",IF(COUNTIFS(tblPhases[phase_id],tblRisks[[#This Row],[phase_id]],tblPhases[project_id],tblRisks[[#This Row],[project_id]])=0,"orphan_phase","valid")))</f>
        <v/>
      </c>
      <c r="R8" s="14">
        <f>IF(tblRisks[[#This Row],[risk_id]]="","",IF(AND(TRUE,tblRisks[[#This Row],[identified_at]]&gt;=event_reconciliation_from_at,COUNTIFS(tblEventLog[subject_id],tblRisks[[#This Row],[risk_id]],tblEventLog[event_type],"risk.logged")=0),"missing:risk.logged",IF(OR(AND(TRUE,tblRisks[[#This Row],[identified_at]]&gt;=event_reconciliation_from_at)),"logged","before_window")))</f>
        <v/>
      </c>
      <c r="T8" s="6" t="inlineStr">
        <is>
          <t>ISS-000004</t>
        </is>
      </c>
      <c r="U8" s="6" t="inlineStr">
        <is>
          <t>PRJ-000003</t>
        </is>
      </c>
      <c r="V8" s="6" t="inlineStr">
        <is>
          <t>PHS-000014</t>
        </is>
      </c>
      <c r="W8" s="6" t="inlineStr">
        <is>
          <t>Training environment slow during sessions</t>
        </is>
      </c>
      <c r="X8" s="6" t="inlineStr">
        <is>
          <t>Pages load slowly when more than one class uses the training environment.</t>
        </is>
      </c>
      <c r="Y8" s="6" t="inlineStr">
        <is>
          <t>sev3</t>
        </is>
      </c>
      <c r="Z8" s="6" t="inlineStr">
        <is>
          <t>resolved</t>
        </is>
      </c>
      <c r="AA8" s="6" t="inlineStr">
        <is>
          <t>ROL-000004</t>
        </is>
      </c>
      <c r="AB8" s="6" t="inlineStr">
        <is>
          <t>2026-09-21T14:00:00Z</t>
        </is>
      </c>
      <c r="AC8" s="6" t="inlineStr">
        <is>
          <t>2026-09-23T16:00:00Z</t>
        </is>
      </c>
      <c r="AD8" s="6" t="inlineStr">
        <is>
          <t>Classes were moved to separate time slots.</t>
        </is>
      </c>
      <c r="AE8" s="6" t="inlineStr">
        <is>
          <t>0.1.0</t>
        </is>
      </c>
      <c r="AF8" s="14">
        <f>IF(tblIssues[[#This Row],[issue_id]]="","",IF(COUNTIFS(tblLookupEntries[lookup_type],"severity",tblLookupEntries[key],tblIssues[[#This Row],[severity]])&gt;0,"valid","invalid_severity"))</f>
        <v/>
      </c>
      <c r="AG8" s="14">
        <f>IF(tblIssues[[#This Row],[issue_id]]="","",IF(COUNTIF(tblProjects[project_id],tblIssues[[#This Row],[project_id]])=0,"orphan_project",IF(COUNTIFS(tblPhases[phase_id],tblIssues[[#This Row],[phase_id]],tblPhases[project_id],tblIssues[[#This Row],[project_id]])=0,"orphan_phase","valid")))</f>
        <v/>
      </c>
      <c r="AH8" s="14">
        <f>IF(tblIssues[[#This Row],[issue_id]]="","",IF(AND(TRUE,tblIssues[[#This Row],[opened_at]]&gt;=event_reconciliation_from_at,COUNTIFS(tblEventLog[subject_id],tblIssues[[#This Row],[issue_id]],tblEventLog[event_type],"issue.logged")=0),"missing:issue.logged",IF(AND(OR(tblIssues[[#This Row],[status]]="resolved",tblIssues[[#This Row],[status]]="closed"),tblIssues[[#This Row],[resolved_at]]&gt;=event_reconciliation_from_at,COUNTIFS(tblEventLog[subject_id],tblIssues[[#This Row],[issue_id]],tblEventLog[event_type],"issue.resolved")=0),"missing:issue.resolved",IF(OR(AND(TRUE,tblIssues[[#This Row],[opened_at]]&gt;=event_reconciliation_from_at),AND(OR(tblIssues[[#This Row],[status]]="resolved",tblIssues[[#This Row],[status]]="closed"),tblIssues[[#This Row],[resolved_at]]&gt;=event_reconciliation_from_at)),"logged","before_window"))))</f>
        <v/>
      </c>
    </row>
    <row r="9">
      <c r="A9" s="6" t="inlineStr">
        <is>
          <t>RSK-000005</t>
        </is>
      </c>
      <c r="B9" s="6" t="inlineStr">
        <is>
          <t>PRJ-000003</t>
        </is>
      </c>
      <c r="C9" s="6" t="inlineStr">
        <is>
          <t>PHS-000014</t>
        </is>
      </c>
      <c r="D9" s="6" t="inlineStr">
        <is>
          <t>End-user training may be incomplete before launch</t>
        </is>
      </c>
      <c r="E9" s="6" t="inlineStr">
        <is>
          <t>Some user groups may not finish training before the launch date.</t>
        </is>
      </c>
      <c r="F9" s="7" t="n">
        <v>3</v>
      </c>
      <c r="G9" s="7" t="n">
        <v>4</v>
      </c>
      <c r="H9" s="14">
        <f>IF(tblRisks[[#This Row],[risk_id]]="","",IF(AND(ISNUMBER(tblRisks[[#This Row],[likelihood]]),ISNUMBER(tblRisks[[#This Row],[impact]])),IF(AND(tblRisks[[#This Row],[likelihood]]=INT(tblRisks[[#This Row],[likelihood]]),tblRisks[[#This Row],[impact]]=INT(tblRisks[[#This Row],[impact]]),tblRisks[[#This Row],[likelihood]]&gt;=risk_likelihood_min,tblRisks[[#This Row],[likelihood]]&lt;=risk_likelihood_max,tblRisks[[#This Row],[impact]]&gt;=risk_impact_min,tblRisks[[#This Row],[impact]]&lt;=risk_impact_max),tblRisks[[#This Row],[likelihood]]*tblRisks[[#This Row],[impact]],"invalid_scale_value"),"invalid_scale_value"))</f>
        <v/>
      </c>
      <c r="I9" s="6" t="inlineStr">
        <is>
          <t>mitigating</t>
        </is>
      </c>
      <c r="J9" s="6" t="inlineStr">
        <is>
          <t>ROL-000005</t>
        </is>
      </c>
      <c r="K9" s="6" t="inlineStr">
        <is>
          <t>Add a make-up session and track sign-offs daily.</t>
        </is>
      </c>
      <c r="L9" s="6" t="inlineStr">
        <is>
          <t>2026-09-18T15:00:00Z</t>
        </is>
      </c>
      <c r="M9" s="6" t="n"/>
      <c r="N9" s="6" t="inlineStr">
        <is>
          <t>0.1.0</t>
        </is>
      </c>
      <c r="O9" s="14">
        <f>IF(tblRisks[[#This Row],[risk_id]]="","",IF(ISNUMBER(tblRisks[[#This Row],[risk_score]]),IFERROR(INDEX(tblRiskBands[band],MATCH(tblRisks[[#This Row],[risk_score]],tblRiskBands[min_score],1)),"no_band"),"invalid_scale_value"))</f>
        <v/>
      </c>
      <c r="P9" s="14">
        <f>IF(tblRisks[[#This Row],[risk_id]]="","",IF(ISNUMBER(tblRisks[[#This Row],[risk_score]]),IFERROR(INDEX(tblRiskBands[severity],MATCH(tblRisks[[#This Row],[risk_score]],tblRiskBands[min_score],1)),"no_band"),"invalid_scale_value"))</f>
        <v/>
      </c>
      <c r="Q9" s="14">
        <f>IF(tblRisks[[#This Row],[risk_id]]="","",IF(COUNTIF(tblProjects[project_id],tblRisks[[#This Row],[project_id]])=0,"orphan_project",IF(COUNTIFS(tblPhases[phase_id],tblRisks[[#This Row],[phase_id]],tblPhases[project_id],tblRisks[[#This Row],[project_id]])=0,"orphan_phase","valid")))</f>
        <v/>
      </c>
      <c r="R9" s="14">
        <f>IF(tblRisks[[#This Row],[risk_id]]="","",IF(AND(TRUE,tblRisks[[#This Row],[identified_at]]&gt;=event_reconciliation_from_at,COUNTIFS(tblEventLog[subject_id],tblRisks[[#This Row],[risk_id]],tblEventLog[event_type],"risk.logged")=0),"missing:risk.logged",IF(OR(AND(TRUE,tblRisks[[#This Row],[identified_at]]&gt;=event_reconciliation_from_at)),"logged","before_window")))</f>
        <v/>
      </c>
      <c r="T9" s="6" t="inlineStr">
        <is>
          <t>ISS-000005</t>
        </is>
      </c>
      <c r="U9" s="6" t="inlineStr">
        <is>
          <t>PRJ-000003</t>
        </is>
      </c>
      <c r="V9" s="6" t="inlineStr">
        <is>
          <t>PHS-000015</t>
        </is>
      </c>
      <c r="W9" s="6" t="inlineStr">
        <is>
          <t>Final data extract arrives one day late</t>
        </is>
      </c>
      <c r="X9" s="6" t="inlineStr">
        <is>
          <t>The customer's final extract is scheduled one day after the planned date.</t>
        </is>
      </c>
      <c r="Y9" s="6" t="inlineStr">
        <is>
          <t>sev4</t>
        </is>
      </c>
      <c r="Z9" s="6" t="inlineStr">
        <is>
          <t>open</t>
        </is>
      </c>
      <c r="AA9" s="6" t="inlineStr">
        <is>
          <t>ROL-000004</t>
        </is>
      </c>
      <c r="AB9" s="6" t="inlineStr">
        <is>
          <t>2026-10-01T14:00:00Z</t>
        </is>
      </c>
      <c r="AC9" s="6" t="n"/>
      <c r="AD9" s="6" t="n"/>
      <c r="AE9" s="6" t="inlineStr">
        <is>
          <t>0.1.0</t>
        </is>
      </c>
      <c r="AF9" s="14">
        <f>IF(tblIssues[[#This Row],[issue_id]]="","",IF(COUNTIFS(tblLookupEntries[lookup_type],"severity",tblLookupEntries[key],tblIssues[[#This Row],[severity]])&gt;0,"valid","invalid_severity"))</f>
        <v/>
      </c>
      <c r="AG9" s="14">
        <f>IF(tblIssues[[#This Row],[issue_id]]="","",IF(COUNTIF(tblProjects[project_id],tblIssues[[#This Row],[project_id]])=0,"orphan_project",IF(COUNTIFS(tblPhases[phase_id],tblIssues[[#This Row],[phase_id]],tblPhases[project_id],tblIssues[[#This Row],[project_id]])=0,"orphan_phase","valid")))</f>
        <v/>
      </c>
      <c r="AH9" s="14">
        <f>IF(tblIssues[[#This Row],[issue_id]]="","",IF(AND(TRUE,tblIssues[[#This Row],[opened_at]]&gt;=event_reconciliation_from_at,COUNTIFS(tblEventLog[subject_id],tblIssues[[#This Row],[issue_id]],tblEventLog[event_type],"issue.logged")=0),"missing:issue.logged",IF(AND(OR(tblIssues[[#This Row],[status]]="resolved",tblIssues[[#This Row],[status]]="closed"),tblIssues[[#This Row],[resolved_at]]&gt;=event_reconciliation_from_at,COUNTIFS(tblEventLog[subject_id],tblIssues[[#This Row],[issue_id]],tblEventLog[event_type],"issue.resolved")=0),"missing:issue.resolved",IF(OR(AND(TRUE,tblIssues[[#This Row],[opened_at]]&gt;=event_reconciliation_from_at),AND(OR(tblIssues[[#This Row],[status]]="resolved",tblIssues[[#This Row],[status]]="closed"),tblIssues[[#This Row],[resolved_at]]&gt;=event_reconciliation_from_at)),"logged","before_window"))))</f>
        <v/>
      </c>
    </row>
    <row r="10">
      <c r="A10" s="6" t="inlineStr">
        <is>
          <t>RSK-000006</t>
        </is>
      </c>
      <c r="B10" s="6" t="inlineStr">
        <is>
          <t>PRJ-000003</t>
        </is>
      </c>
      <c r="C10" s="6" t="inlineStr">
        <is>
          <t>PHS-000013</t>
        </is>
      </c>
      <c r="D10" s="6" t="inlineStr">
        <is>
          <t>Final data load could overlap launch week</t>
        </is>
      </c>
      <c r="E10" s="6" t="inlineStr">
        <is>
          <t>The final data load window is close to the launch date.</t>
        </is>
      </c>
      <c r="F10" s="7" t="n">
        <v>2</v>
      </c>
      <c r="G10" s="7" t="n">
        <v>5</v>
      </c>
      <c r="H10" s="14">
        <f>IF(tblRisks[[#This Row],[risk_id]]="","",IF(AND(ISNUMBER(tblRisks[[#This Row],[likelihood]]),ISNUMBER(tblRisks[[#This Row],[impact]])),IF(AND(tblRisks[[#This Row],[likelihood]]=INT(tblRisks[[#This Row],[likelihood]]),tblRisks[[#This Row],[impact]]=INT(tblRisks[[#This Row],[impact]]),tblRisks[[#This Row],[likelihood]]&gt;=risk_likelihood_min,tblRisks[[#This Row],[likelihood]]&lt;=risk_likelihood_max,tblRisks[[#This Row],[impact]]&gt;=risk_impact_min,tblRisks[[#This Row],[impact]]&lt;=risk_impact_max),tblRisks[[#This Row],[likelihood]]*tblRisks[[#This Row],[impact]],"invalid_scale_value"),"invalid_scale_value"))</f>
        <v/>
      </c>
      <c r="I10" s="6" t="inlineStr">
        <is>
          <t>accepted</t>
        </is>
      </c>
      <c r="J10" s="6" t="inlineStr">
        <is>
          <t>ROL-000004</t>
        </is>
      </c>
      <c r="K10" s="6" t="inlineStr">
        <is>
          <t>The sponsor accepted the timing; the load plan includes a fallback step.</t>
        </is>
      </c>
      <c r="L10" s="6" t="inlineStr">
        <is>
          <t>2026-09-08T15:00:00Z</t>
        </is>
      </c>
      <c r="M10" s="6" t="n"/>
      <c r="N10" s="6" t="inlineStr">
        <is>
          <t>0.1.0</t>
        </is>
      </c>
      <c r="O10" s="14">
        <f>IF(tblRisks[[#This Row],[risk_id]]="","",IF(ISNUMBER(tblRisks[[#This Row],[risk_score]]),IFERROR(INDEX(tblRiskBands[band],MATCH(tblRisks[[#This Row],[risk_score]],tblRiskBands[min_score],1)),"no_band"),"invalid_scale_value"))</f>
        <v/>
      </c>
      <c r="P10" s="14">
        <f>IF(tblRisks[[#This Row],[risk_id]]="","",IF(ISNUMBER(tblRisks[[#This Row],[risk_score]]),IFERROR(INDEX(tblRiskBands[severity],MATCH(tblRisks[[#This Row],[risk_score]],tblRiskBands[min_score],1)),"no_band"),"invalid_scale_value"))</f>
        <v/>
      </c>
      <c r="Q10" s="14">
        <f>IF(tblRisks[[#This Row],[risk_id]]="","",IF(COUNTIF(tblProjects[project_id],tblRisks[[#This Row],[project_id]])=0,"orphan_project",IF(COUNTIFS(tblPhases[phase_id],tblRisks[[#This Row],[phase_id]],tblPhases[project_id],tblRisks[[#This Row],[project_id]])=0,"orphan_phase","valid")))</f>
        <v/>
      </c>
      <c r="R10" s="14">
        <f>IF(tblRisks[[#This Row],[risk_id]]="","",IF(AND(TRUE,tblRisks[[#This Row],[identified_at]]&gt;=event_reconciliation_from_at,COUNTIFS(tblEventLog[subject_id],tblRisks[[#This Row],[risk_id]],tblEventLog[event_type],"risk.logged")=0),"missing:risk.logged",IF(OR(AND(TRUE,tblRisks[[#This Row],[identified_at]]&gt;=event_reconciliation_from_at)),"logged","before_window")))</f>
        <v/>
      </c>
    </row>
  </sheetData>
  <conditionalFormatting sqref="Q5:Q1005">
    <cfRule type="expression" priority="1" dxfId="0">
      <formula>AND($Q5&lt;&gt;"",$Q5&lt;&gt;"valid",$Q5&lt;&gt;"no_predecessor",$Q5&lt;&gt;"event_only_record")</formula>
    </cfRule>
  </conditionalFormatting>
  <conditionalFormatting sqref="R5:R1005">
    <cfRule type="expression" priority="2" dxfId="1">
      <formula>LEFT($R5,7)="missing"</formula>
    </cfRule>
  </conditionalFormatting>
  <conditionalFormatting sqref="AF5:AF1005">
    <cfRule type="expression" priority="3" dxfId="0">
      <formula>AND($AF5&lt;&gt;"",$AF5&lt;&gt;"valid",$AF5&lt;&gt;"no_predecessor",$AF5&lt;&gt;"event_only_record")</formula>
    </cfRule>
  </conditionalFormatting>
  <conditionalFormatting sqref="AG5:AG1005">
    <cfRule type="expression" priority="4" dxfId="0">
      <formula>AND($AG5&lt;&gt;"",$AG5&lt;&gt;"valid",$AG5&lt;&gt;"no_predecessor",$AG5&lt;&gt;"event_only_record")</formula>
    </cfRule>
  </conditionalFormatting>
  <conditionalFormatting sqref="AH5:AH1005">
    <cfRule type="expression" priority="5" dxfId="1">
      <formula>LEFT($AH5,7)="missing"</formula>
    </cfRule>
  </conditionalFormatting>
  <dataValidations count="7">
    <dataValidation sqref="F5:F1005" showDropDown="0" showInputMessage="0" showErrorMessage="1" allowBlank="1" errorTitle="Outside the R1 scale" error="Use a whole number on the R1 risk scale (Lookups, tblRuleParameters)." type="whole" operator="between">
      <formula1>=risk_likelihood_min</formula1>
      <formula2>=risk_likelihood_max</formula2>
    </dataValidation>
    <dataValidation sqref="G5:G1005" showDropDown="0" showInputMessage="0" showErrorMessage="1" allowBlank="1" errorTitle="Outside the R1 scale" error="Use a whole number on the R1 risk scale (Lookups, tblRuleParameters)." type="whole" operator="between">
      <formula1>=risk_impact_min</formula1>
      <formula2>=risk_impact_max</formula2>
    </dataValidation>
    <dataValidation sqref="I5:I1005" showDropDown="0" showInputMessage="0" showErrorMessage="1" allowBlank="1" errorTitle="Value not in R1 list" error="Choose a value from the R1 risk_status list (Lookups tab)." type="list" errorStyle="stop">
      <formula1>=lst_risk_status</formula1>
    </dataValidation>
    <dataValidation sqref="J5:J1005" showDropDown="0" showInputMessage="0" showErrorMessage="1" allowBlank="1" errorTitle="Value not in R1 list" error="Choose a value from the R1 role_id list (Lookups tab)." type="list" errorStyle="warning">
      <formula1>=lst_role_id</formula1>
    </dataValidation>
    <dataValidation sqref="Y5:Y1005" showDropDown="0" showInputMessage="0" showErrorMessage="1" allowBlank="1" errorTitle="Value not in R1 list" error="Choose a value from the R1 severity list (Lookups tab)." type="list" errorStyle="stop">
      <formula1>=lst_severity</formula1>
    </dataValidation>
    <dataValidation sqref="Z5:Z1005" showDropDown="0" showInputMessage="0" showErrorMessage="1" allowBlank="1" errorTitle="Value not in R1 list" error="Choose a value from the R1 issue_status list (Lookups tab)." type="list" errorStyle="stop">
      <formula1>=lst_issue_status</formula1>
    </dataValidation>
    <dataValidation sqref="AA5:AA1005" showDropDown="0" showInputMessage="0" showErrorMessage="1" allowBlank="1" errorTitle="Value not in R1 list" error="Choose a value from the R1 role_id list (Lookups tab)." type="list" errorStyle="warning">
      <formula1>=lst_role_id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2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8" customWidth="1" min="8" max="8"/>
    <col width="14" customWidth="1" min="9" max="9"/>
    <col width="14" customWidth="1" min="10" max="10"/>
    <col width="10" customWidth="1" min="11" max="11"/>
    <col width="10" customWidth="1" min="12" max="12"/>
    <col width="14" customWidth="1" min="13" max="13"/>
    <col width="22" customWidth="1" min="14" max="14"/>
    <col width="10" customWidth="1" min="15" max="15"/>
    <col width="12" customWidth="1" min="16" max="16"/>
    <col width="14" customWidth="1" min="17" max="17"/>
    <col width="10" customWidth="1" min="18" max="18"/>
    <col width="18" customWidth="1" min="19" max="19"/>
    <col width="16" customWidth="1" min="21" max="21"/>
    <col width="12" customWidth="1" min="22" max="22"/>
    <col width="16" customWidth="1" min="23" max="23"/>
    <col width="20" customWidth="1" min="24" max="24"/>
    <col width="10" customWidth="1" min="25" max="25"/>
    <col width="12" customWidth="1" min="26" max="26"/>
    <col width="60" customWidth="1" min="27" max="27"/>
    <col width="22" customWidth="1" min="28" max="28"/>
  </cols>
  <sheetData>
    <row r="1">
      <c r="A1" s="1" t="inlineStr">
        <is>
          <t>Readiness Scorecard</t>
        </is>
      </c>
    </row>
    <row r="2">
      <c r="A2" s="15" t="inlineStr">
        <is>
          <t>Readiness score informs human review. It does not decide go or no-go.</t>
        </is>
      </c>
    </row>
    <row r="3">
      <c r="A3" s="3" t="inlineStr">
        <is>
          <t>Readiness entries (R1 readiness rows; calculated columns reproduce R1)</t>
        </is>
      </c>
      <c r="U3" s="3" t="inlineStr">
        <is>
          <t>Readiness summary (one row per scorecard)</t>
        </is>
      </c>
    </row>
    <row r="4">
      <c r="A4" s="5" t="inlineStr">
        <is>
          <t>readiness_entry_id</t>
        </is>
      </c>
      <c r="B4" s="5" t="inlineStr">
        <is>
          <t>readiness_scorecard_id</t>
        </is>
      </c>
      <c r="C4" s="5" t="inlineStr">
        <is>
          <t>project_id</t>
        </is>
      </c>
      <c r="D4" s="5" t="inlineStr">
        <is>
          <t>assessment_purpose</t>
        </is>
      </c>
      <c r="E4" s="5" t="inlineStr">
        <is>
          <t>assessed_at</t>
        </is>
      </c>
      <c r="F4" s="5" t="inlineStr">
        <is>
          <t>calculation_version</t>
        </is>
      </c>
      <c r="G4" s="5" t="inlineStr">
        <is>
          <t>category</t>
        </is>
      </c>
      <c r="H4" s="13" t="inlineStr">
        <is>
          <t>weight</t>
        </is>
      </c>
      <c r="I4" s="5" t="inlineStr">
        <is>
          <t>criteria_total_count</t>
        </is>
      </c>
      <c r="J4" s="5" t="inlineStr">
        <is>
          <t>criteria_met_count</t>
        </is>
      </c>
      <c r="K4" s="13" t="inlineStr">
        <is>
          <t>achieved_rate</t>
        </is>
      </c>
      <c r="L4" s="13" t="inlineStr">
        <is>
          <t>category_score</t>
        </is>
      </c>
      <c r="M4" s="5" t="inlineStr">
        <is>
          <t>required_evidence_complete_flag</t>
        </is>
      </c>
      <c r="N4" s="5" t="inlineStr">
        <is>
          <t>evidence_refs</t>
        </is>
      </c>
      <c r="O4" s="13" t="inlineStr">
        <is>
          <t>overall_score</t>
        </is>
      </c>
      <c r="P4" s="13" t="inlineStr">
        <is>
          <t>incomplete_required_evidence_flag</t>
        </is>
      </c>
      <c r="Q4" s="5" t="inlineStr">
        <is>
          <t>schema_version</t>
        </is>
      </c>
      <c r="R4" s="13" t="inlineStr">
        <is>
          <t>weighted_result</t>
        </is>
      </c>
      <c r="S4" s="13" t="inlineStr">
        <is>
          <t>category_count_check</t>
        </is>
      </c>
      <c r="U4" s="5" t="inlineStr">
        <is>
          <t>readiness_scorecard_id</t>
        </is>
      </c>
      <c r="V4" s="13" t="inlineStr">
        <is>
          <t>project_id</t>
        </is>
      </c>
      <c r="W4" s="13" t="inlineStr">
        <is>
          <t>assessment_purpose</t>
        </is>
      </c>
      <c r="X4" s="13" t="inlineStr">
        <is>
          <t>assessed_at</t>
        </is>
      </c>
      <c r="Y4" s="13" t="inlineStr">
        <is>
          <t>overall_score</t>
        </is>
      </c>
      <c r="Z4" s="13" t="inlineStr">
        <is>
          <t>incomplete_required_evidence_flag</t>
        </is>
      </c>
      <c r="AA4" s="13" t="inlineStr">
        <is>
          <t>evidence_warning</t>
        </is>
      </c>
      <c r="AB4" s="13" t="inlineStr">
        <is>
          <t>event_evidence</t>
        </is>
      </c>
    </row>
    <row r="5">
      <c r="A5" s="6" t="inlineStr">
        <is>
          <t>RDE-000001</t>
        </is>
      </c>
      <c r="B5" s="6" t="inlineStr">
        <is>
          <t>RDS-000001</t>
        </is>
      </c>
      <c r="C5" s="6" t="inlineStr">
        <is>
          <t>PRJ-000001</t>
        </is>
      </c>
      <c r="D5" s="6" t="inlineStr">
        <is>
          <t>pre_assessment</t>
        </is>
      </c>
      <c r="E5" s="6" t="inlineStr">
        <is>
          <t>2026-10-01T15:00:00Z</t>
        </is>
      </c>
      <c r="F5" s="6" t="inlineStr">
        <is>
          <t>1.0.0</t>
        </is>
      </c>
      <c r="G5" s="6" t="inlineStr">
        <is>
          <t>people</t>
        </is>
      </c>
      <c r="H5" s="14">
        <f>IF(tblReadiness[[#This Row],[readiness_entry_id]]="","",IFERROR(INDEX(tblReadinessWeights[weight],MATCH(tblReadiness[[#This Row],[category]],tblReadinessWeights[category],0)),"unknown_category"))</f>
        <v/>
      </c>
      <c r="I5" s="7" t="n">
        <v>4</v>
      </c>
      <c r="J5" s="7" t="n">
        <v>2</v>
      </c>
      <c r="K5" s="16">
        <f>IF(tblReadiness[[#This Row],[readiness_entry_id]]="","",IF(AND(ISNUMBER(tblReadiness[[#This Row],[criteria_total_count]]),ISNUMBER(tblReadiness[[#This Row],[criteria_met_count]])),IF(AND(tblReadiness[[#This Row],[criteria_total_count]]&gt;=1,tblReadiness[[#This Row],[criteria_met_count]]&gt;=0,tblReadiness[[#This Row],[criteria_met_count]]&lt;=tblReadiness[[#This Row],[criteria_total_count]]),tblReadiness[[#This Row],[criteria_met_count]]/tblReadiness[[#This Row],[criteria_total_count]],"invalid_criteria_counts"),"invalid_criteria_counts"))</f>
        <v/>
      </c>
      <c r="L5" s="14">
        <f>IF(tblReadiness[[#This Row],[readiness_entry_id]]="","",IF(ISNUMBER(tblReadiness[[#This Row],[weighted_result]]),ROUND(tblReadiness[[#This Row],[weighted_result]],2),""))</f>
        <v/>
      </c>
      <c r="M5" s="7" t="b">
        <v>0</v>
      </c>
      <c r="N5" s="6" t="inlineStr">
        <is>
          <t>MLS-000001</t>
        </is>
      </c>
      <c r="O5" s="14">
        <f>IF(tblReadiness[[#This Row],[readiness_entry_id]]="","",IF(COUNTIFS(tblReadiness[readiness_scorecard_id],tblReadiness[[#This Row],[readiness_scorecard_id]],tblReadiness[category_count_check],"complete")&lt;&gt;ROWS(tblReadinessWeights[category]),"incomplete_scorecard",IFERROR(ROUND(100*SUMIFS(tblReadiness[weighted_result],tblReadiness[readiness_scorecard_id],tblReadiness[[#This Row],[readiness_scorecard_id]])/SUMIFS(tblReadiness[weight],tblReadiness[readiness_scorecard_id],tblReadiness[[#This Row],[readiness_scorecard_id]]),2),"incomplete_scorecard")))</f>
        <v/>
      </c>
      <c r="P5" s="14">
        <f>IF(tblReadiness[[#This Row],[readiness_entry_id]]="","",COUNTIFS(tblReadiness[readiness_scorecard_id],tblReadiness[[#This Row],[readiness_scorecard_id]],tblReadiness[required_evidence_complete_flag],FALSE)&gt;0)</f>
        <v/>
      </c>
      <c r="Q5" s="6" t="inlineStr">
        <is>
          <t>0.1.0</t>
        </is>
      </c>
      <c r="R5" s="14">
        <f>IF(tblReadiness[[#This Row],[readiness_entry_id]]="","",IF(AND(ISNUMBER(tblReadiness[[#This Row],[weight]]),ISNUMBER(tblReadiness[[#This Row],[achieved_rate]])),tblReadiness[[#This Row],[weight]]*tblReadiness[[#This Row],[achieved_rate]],""))</f>
        <v/>
      </c>
      <c r="S5" s="14">
        <f>IF(tblReadiness[[#This Row],[readiness_entry_id]]="","",IF(COUNTIF(tblReadiness[readiness_scorecard_id],tblReadiness[[#This Row],[readiness_scorecard_id]])&lt;&gt;ROWS(tblReadinessWeights[category]),"missing_or_extra_category",IF(COUNTIFS(tblReadiness[readiness_scorecard_id],tblReadiness[[#This Row],[readiness_scorecard_id]],tblReadiness[category],tblReadiness[[#This Row],[category]])&lt;&gt;1,"duplicate_category",IF(COUNTIF(tblReadinessWeights[category],tblReadiness[[#This Row],[category]])=0,"unknown_category","complete"))))</f>
        <v/>
      </c>
      <c r="U5" s="7" t="inlineStr">
        <is>
          <t>RDS-000001</t>
        </is>
      </c>
      <c r="V5" s="14">
        <f>IF(tblReadinessSummary[[#This Row],[readiness_scorecard_id]]="","",IFERROR(INDEX(tblReadiness[project_id],MATCH(tblReadinessSummary[[#This Row],[readiness_scorecard_id]],tblReadiness[readiness_scorecard_id],0)),"scorecard_not_found")&amp;"")</f>
        <v/>
      </c>
      <c r="W5" s="14">
        <f>IF(tblReadinessSummary[[#This Row],[readiness_scorecard_id]]="","",IFERROR(INDEX(tblReadiness[assessment_purpose],MATCH(tblReadinessSummary[[#This Row],[readiness_scorecard_id]],tblReadiness[readiness_scorecard_id],0)),"scorecard_not_found")&amp;"")</f>
        <v/>
      </c>
      <c r="X5" s="14">
        <f>IF(tblReadinessSummary[[#This Row],[readiness_scorecard_id]]="","",IFERROR(INDEX(tblReadiness[assessed_at],MATCH(tblReadinessSummary[[#This Row],[readiness_scorecard_id]],tblReadiness[readiness_scorecard_id],0)),"scorecard_not_found")&amp;"")</f>
        <v/>
      </c>
      <c r="Y5" s="14">
        <f>IF(tblReadinessSummary[[#This Row],[readiness_scorecard_id]]="","",IFERROR(INDEX(tblReadiness[overall_score],MATCH(tblReadinessSummary[[#This Row],[readiness_scorecard_id]],tblReadiness[readiness_scorecard_id],0)),"scorecard_not_found"))</f>
        <v/>
      </c>
      <c r="Z5" s="14">
        <f>IF(tblReadinessSummary[[#This Row],[readiness_scorecard_id]]="","",IFERROR(INDEX(tblReadiness[incomplete_required_evidence_flag],MATCH(tblReadinessSummary[[#This Row],[readiness_scorecard_id]],tblReadiness[readiness_scorecard_id],0)),"scorecard_not_found"))</f>
        <v/>
      </c>
      <c r="AA5" s="14">
        <f>IF(tblReadinessSummary[[#This Row],[readiness_scorecard_id]]="","",IF(tblReadinessSummary[[#This Row],[incomplete_required_evidence_flag]]=TRUE,"Required evidence incomplete: resolve before the human launch decision",IF(tblReadinessSummary[[#This Row],[incomplete_required_evidence_flag]]=FALSE,"Required evidence complete","scorecard_not_found")))</f>
        <v/>
      </c>
      <c r="AB5" s="14">
        <f>IF(tblReadinessSummary[[#This Row],[readiness_scorecard_id]]="","",IF(tblReadinessSummary[[#This Row],[assessed_at]]&lt;event_reconciliation_from_at,"before_window",IF(COUNTIFS(tblEventLog[subject_id],tblReadinessSummary[[#This Row],[readiness_scorecard_id]],tblEventLog[event_type],"readiness.scored")&gt;0,"logged","missing:readiness.scored")))</f>
        <v/>
      </c>
    </row>
    <row r="6">
      <c r="A6" s="6" t="inlineStr">
        <is>
          <t>RDE-000002</t>
        </is>
      </c>
      <c r="B6" s="6" t="inlineStr">
        <is>
          <t>RDS-000001</t>
        </is>
      </c>
      <c r="C6" s="6" t="inlineStr">
        <is>
          <t>PRJ-000001</t>
        </is>
      </c>
      <c r="D6" s="6" t="inlineStr">
        <is>
          <t>pre_assessment</t>
        </is>
      </c>
      <c r="E6" s="6" t="inlineStr">
        <is>
          <t>2026-10-01T15:00:00Z</t>
        </is>
      </c>
      <c r="F6" s="6" t="inlineStr">
        <is>
          <t>1.0.0</t>
        </is>
      </c>
      <c r="G6" s="6" t="inlineStr">
        <is>
          <t>process</t>
        </is>
      </c>
      <c r="H6" s="14">
        <f>IF(tblReadiness[[#This Row],[readiness_entry_id]]="","",IFERROR(INDEX(tblReadinessWeights[weight],MATCH(tblReadiness[[#This Row],[category]],tblReadinessWeights[category],0)),"unknown_category"))</f>
        <v/>
      </c>
      <c r="I6" s="7" t="n">
        <v>4</v>
      </c>
      <c r="J6" s="7" t="n">
        <v>1</v>
      </c>
      <c r="K6" s="16">
        <f>IF(tblReadiness[[#This Row],[readiness_entry_id]]="","",IF(AND(ISNUMBER(tblReadiness[[#This Row],[criteria_total_count]]),ISNUMBER(tblReadiness[[#This Row],[criteria_met_count]])),IF(AND(tblReadiness[[#This Row],[criteria_total_count]]&gt;=1,tblReadiness[[#This Row],[criteria_met_count]]&gt;=0,tblReadiness[[#This Row],[criteria_met_count]]&lt;=tblReadiness[[#This Row],[criteria_total_count]]),tblReadiness[[#This Row],[criteria_met_count]]/tblReadiness[[#This Row],[criteria_total_count]],"invalid_criteria_counts"),"invalid_criteria_counts"))</f>
        <v/>
      </c>
      <c r="L6" s="14">
        <f>IF(tblReadiness[[#This Row],[readiness_entry_id]]="","",IF(ISNUMBER(tblReadiness[[#This Row],[weighted_result]]),ROUND(tblReadiness[[#This Row],[weighted_result]],2),""))</f>
        <v/>
      </c>
      <c r="M6" s="7" t="b">
        <v>0</v>
      </c>
      <c r="N6" s="6" t="inlineStr">
        <is>
          <t>TSK-000001</t>
        </is>
      </c>
      <c r="O6" s="14">
        <f>IF(tblReadiness[[#This Row],[readiness_entry_id]]="","",IF(COUNTIFS(tblReadiness[readiness_scorecard_id],tblReadiness[[#This Row],[readiness_scorecard_id]],tblReadiness[category_count_check],"complete")&lt;&gt;ROWS(tblReadinessWeights[category]),"incomplete_scorecard",IFERROR(ROUND(100*SUMIFS(tblReadiness[weighted_result],tblReadiness[readiness_scorecard_id],tblReadiness[[#This Row],[readiness_scorecard_id]])/SUMIFS(tblReadiness[weight],tblReadiness[readiness_scorecard_id],tblReadiness[[#This Row],[readiness_scorecard_id]]),2),"incomplete_scorecard")))</f>
        <v/>
      </c>
      <c r="P6" s="14">
        <f>IF(tblReadiness[[#This Row],[readiness_entry_id]]="","",COUNTIFS(tblReadiness[readiness_scorecard_id],tblReadiness[[#This Row],[readiness_scorecard_id]],tblReadiness[required_evidence_complete_flag],FALSE)&gt;0)</f>
        <v/>
      </c>
      <c r="Q6" s="6" t="inlineStr">
        <is>
          <t>0.1.0</t>
        </is>
      </c>
      <c r="R6" s="14">
        <f>IF(tblReadiness[[#This Row],[readiness_entry_id]]="","",IF(AND(ISNUMBER(tblReadiness[[#This Row],[weight]]),ISNUMBER(tblReadiness[[#This Row],[achieved_rate]])),tblReadiness[[#This Row],[weight]]*tblReadiness[[#This Row],[achieved_rate]],""))</f>
        <v/>
      </c>
      <c r="S6" s="14">
        <f>IF(tblReadiness[[#This Row],[readiness_entry_id]]="","",IF(COUNTIF(tblReadiness[readiness_scorecard_id],tblReadiness[[#This Row],[readiness_scorecard_id]])&lt;&gt;ROWS(tblReadinessWeights[category]),"missing_or_extra_category",IF(COUNTIFS(tblReadiness[readiness_scorecard_id],tblReadiness[[#This Row],[readiness_scorecard_id]],tblReadiness[category],tblReadiness[[#This Row],[category]])&lt;&gt;1,"duplicate_category",IF(COUNTIF(tblReadinessWeights[category],tblReadiness[[#This Row],[category]])=0,"unknown_category","complete"))))</f>
        <v/>
      </c>
      <c r="U6" s="7" t="inlineStr">
        <is>
          <t>RDS-000002</t>
        </is>
      </c>
      <c r="V6" s="14">
        <f>IF(tblReadinessSummary[[#This Row],[readiness_scorecard_id]]="","",IFERROR(INDEX(tblReadiness[project_id],MATCH(tblReadinessSummary[[#This Row],[readiness_scorecard_id]],tblReadiness[readiness_scorecard_id],0)),"scorecard_not_found")&amp;"")</f>
        <v/>
      </c>
      <c r="W6" s="14">
        <f>IF(tblReadinessSummary[[#This Row],[readiness_scorecard_id]]="","",IFERROR(INDEX(tblReadiness[assessment_purpose],MATCH(tblReadinessSummary[[#This Row],[readiness_scorecard_id]],tblReadiness[readiness_scorecard_id],0)),"scorecard_not_found")&amp;"")</f>
        <v/>
      </c>
      <c r="X6" s="14">
        <f>IF(tblReadinessSummary[[#This Row],[readiness_scorecard_id]]="","",IFERROR(INDEX(tblReadiness[assessed_at],MATCH(tblReadinessSummary[[#This Row],[readiness_scorecard_id]],tblReadiness[readiness_scorecard_id],0)),"scorecard_not_found")&amp;"")</f>
        <v/>
      </c>
      <c r="Y6" s="14">
        <f>IF(tblReadinessSummary[[#This Row],[readiness_scorecard_id]]="","",IFERROR(INDEX(tblReadiness[overall_score],MATCH(tblReadinessSummary[[#This Row],[readiness_scorecard_id]],tblReadiness[readiness_scorecard_id],0)),"scorecard_not_found"))</f>
        <v/>
      </c>
      <c r="Z6" s="14">
        <f>IF(tblReadinessSummary[[#This Row],[readiness_scorecard_id]]="","",IFERROR(INDEX(tblReadiness[incomplete_required_evidence_flag],MATCH(tblReadinessSummary[[#This Row],[readiness_scorecard_id]],tblReadiness[readiness_scorecard_id],0)),"scorecard_not_found"))</f>
        <v/>
      </c>
      <c r="AA6" s="14">
        <f>IF(tblReadinessSummary[[#This Row],[readiness_scorecard_id]]="","",IF(tblReadinessSummary[[#This Row],[incomplete_required_evidence_flag]]=TRUE,"Required evidence incomplete: resolve before the human launch decision",IF(tblReadinessSummary[[#This Row],[incomplete_required_evidence_flag]]=FALSE,"Required evidence complete","scorecard_not_found")))</f>
        <v/>
      </c>
      <c r="AB6" s="14">
        <f>IF(tblReadinessSummary[[#This Row],[readiness_scorecard_id]]="","",IF(tblReadinessSummary[[#This Row],[assessed_at]]&lt;event_reconciliation_from_at,"before_window",IF(COUNTIFS(tblEventLog[subject_id],tblReadinessSummary[[#This Row],[readiness_scorecard_id]],tblEventLog[event_type],"readiness.scored")&gt;0,"logged","missing:readiness.scored")))</f>
        <v/>
      </c>
    </row>
    <row r="7">
      <c r="A7" s="6" t="inlineStr">
        <is>
          <t>RDE-000003</t>
        </is>
      </c>
      <c r="B7" s="6" t="inlineStr">
        <is>
          <t>RDS-000001</t>
        </is>
      </c>
      <c r="C7" s="6" t="inlineStr">
        <is>
          <t>PRJ-000001</t>
        </is>
      </c>
      <c r="D7" s="6" t="inlineStr">
        <is>
          <t>pre_assessment</t>
        </is>
      </c>
      <c r="E7" s="6" t="inlineStr">
        <is>
          <t>2026-10-01T15:00:00Z</t>
        </is>
      </c>
      <c r="F7" s="6" t="inlineStr">
        <is>
          <t>1.0.0</t>
        </is>
      </c>
      <c r="G7" s="6" t="inlineStr">
        <is>
          <t>technology</t>
        </is>
      </c>
      <c r="H7" s="14">
        <f>IF(tblReadiness[[#This Row],[readiness_entry_id]]="","",IFERROR(INDEX(tblReadinessWeights[weight],MATCH(tblReadiness[[#This Row],[category]],tblReadinessWeights[category],0)),"unknown_category"))</f>
        <v/>
      </c>
      <c r="I7" s="7" t="n">
        <v>5</v>
      </c>
      <c r="J7" s="7" t="n">
        <v>0</v>
      </c>
      <c r="K7" s="16">
        <f>IF(tblReadiness[[#This Row],[readiness_entry_id]]="","",IF(AND(ISNUMBER(tblReadiness[[#This Row],[criteria_total_count]]),ISNUMBER(tblReadiness[[#This Row],[criteria_met_count]])),IF(AND(tblReadiness[[#This Row],[criteria_total_count]]&gt;=1,tblReadiness[[#This Row],[criteria_met_count]]&gt;=0,tblReadiness[[#This Row],[criteria_met_count]]&lt;=tblReadiness[[#This Row],[criteria_total_count]]),tblReadiness[[#This Row],[criteria_met_count]]/tblReadiness[[#This Row],[criteria_total_count]],"invalid_criteria_counts"),"invalid_criteria_counts"))</f>
        <v/>
      </c>
      <c r="L7" s="14">
        <f>IF(tblReadiness[[#This Row],[readiness_entry_id]]="","",IF(ISNUMBER(tblReadiness[[#This Row],[weighted_result]]),ROUND(tblReadiness[[#This Row],[weighted_result]],2),""))</f>
        <v/>
      </c>
      <c r="M7" s="7" t="b">
        <v>0</v>
      </c>
      <c r="N7" s="6" t="n"/>
      <c r="O7" s="14">
        <f>IF(tblReadiness[[#This Row],[readiness_entry_id]]="","",IF(COUNTIFS(tblReadiness[readiness_scorecard_id],tblReadiness[[#This Row],[readiness_scorecard_id]],tblReadiness[category_count_check],"complete")&lt;&gt;ROWS(tblReadinessWeights[category]),"incomplete_scorecard",IFERROR(ROUND(100*SUMIFS(tblReadiness[weighted_result],tblReadiness[readiness_scorecard_id],tblReadiness[[#This Row],[readiness_scorecard_id]])/SUMIFS(tblReadiness[weight],tblReadiness[readiness_scorecard_id],tblReadiness[[#This Row],[readiness_scorecard_id]]),2),"incomplete_scorecard")))</f>
        <v/>
      </c>
      <c r="P7" s="14">
        <f>IF(tblReadiness[[#This Row],[readiness_entry_id]]="","",COUNTIFS(tblReadiness[readiness_scorecard_id],tblReadiness[[#This Row],[readiness_scorecard_id]],tblReadiness[required_evidence_complete_flag],FALSE)&gt;0)</f>
        <v/>
      </c>
      <c r="Q7" s="6" t="inlineStr">
        <is>
          <t>0.1.0</t>
        </is>
      </c>
      <c r="R7" s="14">
        <f>IF(tblReadiness[[#This Row],[readiness_entry_id]]="","",IF(AND(ISNUMBER(tblReadiness[[#This Row],[weight]]),ISNUMBER(tblReadiness[[#This Row],[achieved_rate]])),tblReadiness[[#This Row],[weight]]*tblReadiness[[#This Row],[achieved_rate]],""))</f>
        <v/>
      </c>
      <c r="S7" s="14">
        <f>IF(tblReadiness[[#This Row],[readiness_entry_id]]="","",IF(COUNTIF(tblReadiness[readiness_scorecard_id],tblReadiness[[#This Row],[readiness_scorecard_id]])&lt;&gt;ROWS(tblReadinessWeights[category]),"missing_or_extra_category",IF(COUNTIFS(tblReadiness[readiness_scorecard_id],tblReadiness[[#This Row],[readiness_scorecard_id]],tblReadiness[category],tblReadiness[[#This Row],[category]])&lt;&gt;1,"duplicate_category",IF(COUNTIF(tblReadinessWeights[category],tblReadiness[[#This Row],[category]])=0,"unknown_category","complete"))))</f>
        <v/>
      </c>
      <c r="U7" s="7" t="inlineStr">
        <is>
          <t>RDS-000003</t>
        </is>
      </c>
      <c r="V7" s="14">
        <f>IF(tblReadinessSummary[[#This Row],[readiness_scorecard_id]]="","",IFERROR(INDEX(tblReadiness[project_id],MATCH(tblReadinessSummary[[#This Row],[readiness_scorecard_id]],tblReadiness[readiness_scorecard_id],0)),"scorecard_not_found")&amp;"")</f>
        <v/>
      </c>
      <c r="W7" s="14">
        <f>IF(tblReadinessSummary[[#This Row],[readiness_scorecard_id]]="","",IFERROR(INDEX(tblReadiness[assessment_purpose],MATCH(tblReadinessSummary[[#This Row],[readiness_scorecard_id]],tblReadiness[readiness_scorecard_id],0)),"scorecard_not_found")&amp;"")</f>
        <v/>
      </c>
      <c r="X7" s="14">
        <f>IF(tblReadinessSummary[[#This Row],[readiness_scorecard_id]]="","",IFERROR(INDEX(tblReadiness[assessed_at],MATCH(tblReadinessSummary[[#This Row],[readiness_scorecard_id]],tblReadiness[readiness_scorecard_id],0)),"scorecard_not_found")&amp;"")</f>
        <v/>
      </c>
      <c r="Y7" s="14">
        <f>IF(tblReadinessSummary[[#This Row],[readiness_scorecard_id]]="","",IFERROR(INDEX(tblReadiness[overall_score],MATCH(tblReadinessSummary[[#This Row],[readiness_scorecard_id]],tblReadiness[readiness_scorecard_id],0)),"scorecard_not_found"))</f>
        <v/>
      </c>
      <c r="Z7" s="14">
        <f>IF(tblReadinessSummary[[#This Row],[readiness_scorecard_id]]="","",IFERROR(INDEX(tblReadiness[incomplete_required_evidence_flag],MATCH(tblReadinessSummary[[#This Row],[readiness_scorecard_id]],tblReadiness[readiness_scorecard_id],0)),"scorecard_not_found"))</f>
        <v/>
      </c>
      <c r="AA7" s="14">
        <f>IF(tblReadinessSummary[[#This Row],[readiness_scorecard_id]]="","",IF(tblReadinessSummary[[#This Row],[incomplete_required_evidence_flag]]=TRUE,"Required evidence incomplete: resolve before the human launch decision",IF(tblReadinessSummary[[#This Row],[incomplete_required_evidence_flag]]=FALSE,"Required evidence complete","scorecard_not_found")))</f>
        <v/>
      </c>
      <c r="AB7" s="14">
        <f>IF(tblReadinessSummary[[#This Row],[readiness_scorecard_id]]="","",IF(tblReadinessSummary[[#This Row],[assessed_at]]&lt;event_reconciliation_from_at,"before_window",IF(COUNTIFS(tblEventLog[subject_id],tblReadinessSummary[[#This Row],[readiness_scorecard_id]],tblEventLog[event_type],"readiness.scored")&gt;0,"logged","missing:readiness.scored")))</f>
        <v/>
      </c>
    </row>
    <row r="8">
      <c r="A8" s="6" t="inlineStr">
        <is>
          <t>RDE-000004</t>
        </is>
      </c>
      <c r="B8" s="6" t="inlineStr">
        <is>
          <t>RDS-000001</t>
        </is>
      </c>
      <c r="C8" s="6" t="inlineStr">
        <is>
          <t>PRJ-000001</t>
        </is>
      </c>
      <c r="D8" s="6" t="inlineStr">
        <is>
          <t>pre_assessment</t>
        </is>
      </c>
      <c r="E8" s="6" t="inlineStr">
        <is>
          <t>2026-10-01T15:00:00Z</t>
        </is>
      </c>
      <c r="F8" s="6" t="inlineStr">
        <is>
          <t>1.0.0</t>
        </is>
      </c>
      <c r="G8" s="6" t="inlineStr">
        <is>
          <t>data</t>
        </is>
      </c>
      <c r="H8" s="14">
        <f>IF(tblReadiness[[#This Row],[readiness_entry_id]]="","",IFERROR(INDEX(tblReadinessWeights[weight],MATCH(tblReadiness[[#This Row],[category]],tblReadinessWeights[category],0)),"unknown_category"))</f>
        <v/>
      </c>
      <c r="I8" s="7" t="n">
        <v>4</v>
      </c>
      <c r="J8" s="7" t="n">
        <v>1</v>
      </c>
      <c r="K8" s="16">
        <f>IF(tblReadiness[[#This Row],[readiness_entry_id]]="","",IF(AND(ISNUMBER(tblReadiness[[#This Row],[criteria_total_count]]),ISNUMBER(tblReadiness[[#This Row],[criteria_met_count]])),IF(AND(tblReadiness[[#This Row],[criteria_total_count]]&gt;=1,tblReadiness[[#This Row],[criteria_met_count]]&gt;=0,tblReadiness[[#This Row],[criteria_met_count]]&lt;=tblReadiness[[#This Row],[criteria_total_count]]),tblReadiness[[#This Row],[criteria_met_count]]/tblReadiness[[#This Row],[criteria_total_count]],"invalid_criteria_counts"),"invalid_criteria_counts"))</f>
        <v/>
      </c>
      <c r="L8" s="14">
        <f>IF(tblReadiness[[#This Row],[readiness_entry_id]]="","",IF(ISNUMBER(tblReadiness[[#This Row],[weighted_result]]),ROUND(tblReadiness[[#This Row],[weighted_result]],2),""))</f>
        <v/>
      </c>
      <c r="M8" s="7" t="b">
        <v>0</v>
      </c>
      <c r="N8" s="6" t="inlineStr">
        <is>
          <t>TSK-000003</t>
        </is>
      </c>
      <c r="O8" s="14">
        <f>IF(tblReadiness[[#This Row],[readiness_entry_id]]="","",IF(COUNTIFS(tblReadiness[readiness_scorecard_id],tblReadiness[[#This Row],[readiness_scorecard_id]],tblReadiness[category_count_check],"complete")&lt;&gt;ROWS(tblReadinessWeights[category]),"incomplete_scorecard",IFERROR(ROUND(100*SUMIFS(tblReadiness[weighted_result],tblReadiness[readiness_scorecard_id],tblReadiness[[#This Row],[readiness_scorecard_id]])/SUMIFS(tblReadiness[weight],tblReadiness[readiness_scorecard_id],tblReadiness[[#This Row],[readiness_scorecard_id]]),2),"incomplete_scorecard")))</f>
        <v/>
      </c>
      <c r="P8" s="14">
        <f>IF(tblReadiness[[#This Row],[readiness_entry_id]]="","",COUNTIFS(tblReadiness[readiness_scorecard_id],tblReadiness[[#This Row],[readiness_scorecard_id]],tblReadiness[required_evidence_complete_flag],FALSE)&gt;0)</f>
        <v/>
      </c>
      <c r="Q8" s="6" t="inlineStr">
        <is>
          <t>0.1.0</t>
        </is>
      </c>
      <c r="R8" s="14">
        <f>IF(tblReadiness[[#This Row],[readiness_entry_id]]="","",IF(AND(ISNUMBER(tblReadiness[[#This Row],[weight]]),ISNUMBER(tblReadiness[[#This Row],[achieved_rate]])),tblReadiness[[#This Row],[weight]]*tblReadiness[[#This Row],[achieved_rate]],""))</f>
        <v/>
      </c>
      <c r="S8" s="14">
        <f>IF(tblReadiness[[#This Row],[readiness_entry_id]]="","",IF(COUNTIF(tblReadiness[readiness_scorecard_id],tblReadiness[[#This Row],[readiness_scorecard_id]])&lt;&gt;ROWS(tblReadinessWeights[category]),"missing_or_extra_category",IF(COUNTIFS(tblReadiness[readiness_scorecard_id],tblReadiness[[#This Row],[readiness_scorecard_id]],tblReadiness[category],tblReadiness[[#This Row],[category]])&lt;&gt;1,"duplicate_category",IF(COUNTIF(tblReadinessWeights[category],tblReadiness[[#This Row],[category]])=0,"unknown_category","complete"))))</f>
        <v/>
      </c>
    </row>
    <row r="9">
      <c r="A9" s="6" t="inlineStr">
        <is>
          <t>RDE-000005</t>
        </is>
      </c>
      <c r="B9" s="6" t="inlineStr">
        <is>
          <t>RDS-000001</t>
        </is>
      </c>
      <c r="C9" s="6" t="inlineStr">
        <is>
          <t>PRJ-000001</t>
        </is>
      </c>
      <c r="D9" s="6" t="inlineStr">
        <is>
          <t>pre_assessment</t>
        </is>
      </c>
      <c r="E9" s="6" t="inlineStr">
        <is>
          <t>2026-10-01T15:00:00Z</t>
        </is>
      </c>
      <c r="F9" s="6" t="inlineStr">
        <is>
          <t>1.0.0</t>
        </is>
      </c>
      <c r="G9" s="6" t="inlineStr">
        <is>
          <t>training</t>
        </is>
      </c>
      <c r="H9" s="14">
        <f>IF(tblReadiness[[#This Row],[readiness_entry_id]]="","",IFERROR(INDEX(tblReadinessWeights[weight],MATCH(tblReadiness[[#This Row],[category]],tblReadinessWeights[category],0)),"unknown_category"))</f>
        <v/>
      </c>
      <c r="I9" s="7" t="n">
        <v>4</v>
      </c>
      <c r="J9" s="7" t="n">
        <v>0</v>
      </c>
      <c r="K9" s="16">
        <f>IF(tblReadiness[[#This Row],[readiness_entry_id]]="","",IF(AND(ISNUMBER(tblReadiness[[#This Row],[criteria_total_count]]),ISNUMBER(tblReadiness[[#This Row],[criteria_met_count]])),IF(AND(tblReadiness[[#This Row],[criteria_total_count]]&gt;=1,tblReadiness[[#This Row],[criteria_met_count]]&gt;=0,tblReadiness[[#This Row],[criteria_met_count]]&lt;=tblReadiness[[#This Row],[criteria_total_count]]),tblReadiness[[#This Row],[criteria_met_count]]/tblReadiness[[#This Row],[criteria_total_count]],"invalid_criteria_counts"),"invalid_criteria_counts"))</f>
        <v/>
      </c>
      <c r="L9" s="14">
        <f>IF(tblReadiness[[#This Row],[readiness_entry_id]]="","",IF(ISNUMBER(tblReadiness[[#This Row],[weighted_result]]),ROUND(tblReadiness[[#This Row],[weighted_result]],2),""))</f>
        <v/>
      </c>
      <c r="M9" s="7" t="b">
        <v>0</v>
      </c>
      <c r="N9" s="6" t="n"/>
      <c r="O9" s="14">
        <f>IF(tblReadiness[[#This Row],[readiness_entry_id]]="","",IF(COUNTIFS(tblReadiness[readiness_scorecard_id],tblReadiness[[#This Row],[readiness_scorecard_id]],tblReadiness[category_count_check],"complete")&lt;&gt;ROWS(tblReadinessWeights[category]),"incomplete_scorecard",IFERROR(ROUND(100*SUMIFS(tblReadiness[weighted_result],tblReadiness[readiness_scorecard_id],tblReadiness[[#This Row],[readiness_scorecard_id]])/SUMIFS(tblReadiness[weight],tblReadiness[readiness_scorecard_id],tblReadiness[[#This Row],[readiness_scorecard_id]]),2),"incomplete_scorecard")))</f>
        <v/>
      </c>
      <c r="P9" s="14">
        <f>IF(tblReadiness[[#This Row],[readiness_entry_id]]="","",COUNTIFS(tblReadiness[readiness_scorecard_id],tblReadiness[[#This Row],[readiness_scorecard_id]],tblReadiness[required_evidence_complete_flag],FALSE)&gt;0)</f>
        <v/>
      </c>
      <c r="Q9" s="6" t="inlineStr">
        <is>
          <t>0.1.0</t>
        </is>
      </c>
      <c r="R9" s="14">
        <f>IF(tblReadiness[[#This Row],[readiness_entry_id]]="","",IF(AND(ISNUMBER(tblReadiness[[#This Row],[weight]]),ISNUMBER(tblReadiness[[#This Row],[achieved_rate]])),tblReadiness[[#This Row],[weight]]*tblReadiness[[#This Row],[achieved_rate]],""))</f>
        <v/>
      </c>
      <c r="S9" s="14">
        <f>IF(tblReadiness[[#This Row],[readiness_entry_id]]="","",IF(COUNTIF(tblReadiness[readiness_scorecard_id],tblReadiness[[#This Row],[readiness_scorecard_id]])&lt;&gt;ROWS(tblReadinessWeights[category]),"missing_or_extra_category",IF(COUNTIFS(tblReadiness[readiness_scorecard_id],tblReadiness[[#This Row],[readiness_scorecard_id]],tblReadiness[category],tblReadiness[[#This Row],[category]])&lt;&gt;1,"duplicate_category",IF(COUNTIF(tblReadinessWeights[category],tblReadiness[[#This Row],[category]])=0,"unknown_category","complete"))))</f>
        <v/>
      </c>
    </row>
    <row r="10">
      <c r="A10" s="6" t="inlineStr">
        <is>
          <t>RDE-000006</t>
        </is>
      </c>
      <c r="B10" s="6" t="inlineStr">
        <is>
          <t>RDS-000001</t>
        </is>
      </c>
      <c r="C10" s="6" t="inlineStr">
        <is>
          <t>PRJ-000001</t>
        </is>
      </c>
      <c r="D10" s="6" t="inlineStr">
        <is>
          <t>pre_assessment</t>
        </is>
      </c>
      <c r="E10" s="6" t="inlineStr">
        <is>
          <t>2026-10-01T15:00:00Z</t>
        </is>
      </c>
      <c r="F10" s="6" t="inlineStr">
        <is>
          <t>1.0.0</t>
        </is>
      </c>
      <c r="G10" s="6" t="inlineStr">
        <is>
          <t>support</t>
        </is>
      </c>
      <c r="H10" s="14">
        <f>IF(tblReadiness[[#This Row],[readiness_entry_id]]="","",IFERROR(INDEX(tblReadinessWeights[weight],MATCH(tblReadiness[[#This Row],[category]],tblReadinessWeights[category],0)),"unknown_category"))</f>
        <v/>
      </c>
      <c r="I10" s="7" t="n">
        <v>4</v>
      </c>
      <c r="J10" s="7" t="n">
        <v>0</v>
      </c>
      <c r="K10" s="16">
        <f>IF(tblReadiness[[#This Row],[readiness_entry_id]]="","",IF(AND(ISNUMBER(tblReadiness[[#This Row],[criteria_total_count]]),ISNUMBER(tblReadiness[[#This Row],[criteria_met_count]])),IF(AND(tblReadiness[[#This Row],[criteria_total_count]]&gt;=1,tblReadiness[[#This Row],[criteria_met_count]]&gt;=0,tblReadiness[[#This Row],[criteria_met_count]]&lt;=tblReadiness[[#This Row],[criteria_total_count]]),tblReadiness[[#This Row],[criteria_met_count]]/tblReadiness[[#This Row],[criteria_total_count]],"invalid_criteria_counts"),"invalid_criteria_counts"))</f>
        <v/>
      </c>
      <c r="L10" s="14">
        <f>IF(tblReadiness[[#This Row],[readiness_entry_id]]="","",IF(ISNUMBER(tblReadiness[[#This Row],[weighted_result]]),ROUND(tblReadiness[[#This Row],[weighted_result]],2),""))</f>
        <v/>
      </c>
      <c r="M10" s="7" t="b">
        <v>0</v>
      </c>
      <c r="N10" s="6" t="n"/>
      <c r="O10" s="14">
        <f>IF(tblReadiness[[#This Row],[readiness_entry_id]]="","",IF(COUNTIFS(tblReadiness[readiness_scorecard_id],tblReadiness[[#This Row],[readiness_scorecard_id]],tblReadiness[category_count_check],"complete")&lt;&gt;ROWS(tblReadinessWeights[category]),"incomplete_scorecard",IFERROR(ROUND(100*SUMIFS(tblReadiness[weighted_result],tblReadiness[readiness_scorecard_id],tblReadiness[[#This Row],[readiness_scorecard_id]])/SUMIFS(tblReadiness[weight],tblReadiness[readiness_scorecard_id],tblReadiness[[#This Row],[readiness_scorecard_id]]),2),"incomplete_scorecard")))</f>
        <v/>
      </c>
      <c r="P10" s="14">
        <f>IF(tblReadiness[[#This Row],[readiness_entry_id]]="","",COUNTIFS(tblReadiness[readiness_scorecard_id],tblReadiness[[#This Row],[readiness_scorecard_id]],tblReadiness[required_evidence_complete_flag],FALSE)&gt;0)</f>
        <v/>
      </c>
      <c r="Q10" s="6" t="inlineStr">
        <is>
          <t>0.1.0</t>
        </is>
      </c>
      <c r="R10" s="14">
        <f>IF(tblReadiness[[#This Row],[readiness_entry_id]]="","",IF(AND(ISNUMBER(tblReadiness[[#This Row],[weight]]),ISNUMBER(tblReadiness[[#This Row],[achieved_rate]])),tblReadiness[[#This Row],[weight]]*tblReadiness[[#This Row],[achieved_rate]],""))</f>
        <v/>
      </c>
      <c r="S10" s="14">
        <f>IF(tblReadiness[[#This Row],[readiness_entry_id]]="","",IF(COUNTIF(tblReadiness[readiness_scorecard_id],tblReadiness[[#This Row],[readiness_scorecard_id]])&lt;&gt;ROWS(tblReadinessWeights[category]),"missing_or_extra_category",IF(COUNTIFS(tblReadiness[readiness_scorecard_id],tblReadiness[[#This Row],[readiness_scorecard_id]],tblReadiness[category],tblReadiness[[#This Row],[category]])&lt;&gt;1,"duplicate_category",IF(COUNTIF(tblReadinessWeights[category],tblReadiness[[#This Row],[category]])=0,"unknown_category","complete"))))</f>
        <v/>
      </c>
    </row>
    <row r="11">
      <c r="A11" s="6" t="inlineStr">
        <is>
          <t>RDE-000007</t>
        </is>
      </c>
      <c r="B11" s="6" t="inlineStr">
        <is>
          <t>RDS-000002</t>
        </is>
      </c>
      <c r="C11" s="6" t="inlineStr">
        <is>
          <t>PRJ-000002</t>
        </is>
      </c>
      <c r="D11" s="6" t="inlineStr">
        <is>
          <t>pre_assessment</t>
        </is>
      </c>
      <c r="E11" s="6" t="inlineStr">
        <is>
          <t>2026-10-01T16:00:00Z</t>
        </is>
      </c>
      <c r="F11" s="6" t="inlineStr">
        <is>
          <t>1.0.0</t>
        </is>
      </c>
      <c r="G11" s="6" t="inlineStr">
        <is>
          <t>people</t>
        </is>
      </c>
      <c r="H11" s="14">
        <f>IF(tblReadiness[[#This Row],[readiness_entry_id]]="","",IFERROR(INDEX(tblReadinessWeights[weight],MATCH(tblReadiness[[#This Row],[category]],tblReadinessWeights[category],0)),"unknown_category"))</f>
        <v/>
      </c>
      <c r="I11" s="7" t="n">
        <v>4</v>
      </c>
      <c r="J11" s="7" t="n">
        <v>3</v>
      </c>
      <c r="K11" s="16">
        <f>IF(tblReadiness[[#This Row],[readiness_entry_id]]="","",IF(AND(ISNUMBER(tblReadiness[[#This Row],[criteria_total_count]]),ISNUMBER(tblReadiness[[#This Row],[criteria_met_count]])),IF(AND(tblReadiness[[#This Row],[criteria_total_count]]&gt;=1,tblReadiness[[#This Row],[criteria_met_count]]&gt;=0,tblReadiness[[#This Row],[criteria_met_count]]&lt;=tblReadiness[[#This Row],[criteria_total_count]]),tblReadiness[[#This Row],[criteria_met_count]]/tblReadiness[[#This Row],[criteria_total_count]],"invalid_criteria_counts"),"invalid_criteria_counts"))</f>
        <v/>
      </c>
      <c r="L11" s="14">
        <f>IF(tblReadiness[[#This Row],[readiness_entry_id]]="","",IF(ISNUMBER(tblReadiness[[#This Row],[weighted_result]]),ROUND(tblReadiness[[#This Row],[weighted_result]],2),""))</f>
        <v/>
      </c>
      <c r="M11" s="7" t="b">
        <v>1</v>
      </c>
      <c r="N11" s="6" t="inlineStr">
        <is>
          <t>MLS-000003</t>
        </is>
      </c>
      <c r="O11" s="14">
        <f>IF(tblReadiness[[#This Row],[readiness_entry_id]]="","",IF(COUNTIFS(tblReadiness[readiness_scorecard_id],tblReadiness[[#This Row],[readiness_scorecard_id]],tblReadiness[category_count_check],"complete")&lt;&gt;ROWS(tblReadinessWeights[category]),"incomplete_scorecard",IFERROR(ROUND(100*SUMIFS(tblReadiness[weighted_result],tblReadiness[readiness_scorecard_id],tblReadiness[[#This Row],[readiness_scorecard_id]])/SUMIFS(tblReadiness[weight],tblReadiness[readiness_scorecard_id],tblReadiness[[#This Row],[readiness_scorecard_id]]),2),"incomplete_scorecard")))</f>
        <v/>
      </c>
      <c r="P11" s="14">
        <f>IF(tblReadiness[[#This Row],[readiness_entry_id]]="","",COUNTIFS(tblReadiness[readiness_scorecard_id],tblReadiness[[#This Row],[readiness_scorecard_id]],tblReadiness[required_evidence_complete_flag],FALSE)&gt;0)</f>
        <v/>
      </c>
      <c r="Q11" s="6" t="inlineStr">
        <is>
          <t>0.1.0</t>
        </is>
      </c>
      <c r="R11" s="14">
        <f>IF(tblReadiness[[#This Row],[readiness_entry_id]]="","",IF(AND(ISNUMBER(tblReadiness[[#This Row],[weight]]),ISNUMBER(tblReadiness[[#This Row],[achieved_rate]])),tblReadiness[[#This Row],[weight]]*tblReadiness[[#This Row],[achieved_rate]],""))</f>
        <v/>
      </c>
      <c r="S11" s="14">
        <f>IF(tblReadiness[[#This Row],[readiness_entry_id]]="","",IF(COUNTIF(tblReadiness[readiness_scorecard_id],tblReadiness[[#This Row],[readiness_scorecard_id]])&lt;&gt;ROWS(tblReadinessWeights[category]),"missing_or_extra_category",IF(COUNTIFS(tblReadiness[readiness_scorecard_id],tblReadiness[[#This Row],[readiness_scorecard_id]],tblReadiness[category],tblReadiness[[#This Row],[category]])&lt;&gt;1,"duplicate_category",IF(COUNTIF(tblReadinessWeights[category],tblReadiness[[#This Row],[category]])=0,"unknown_category","complete"))))</f>
        <v/>
      </c>
    </row>
    <row r="12">
      <c r="A12" s="6" t="inlineStr">
        <is>
          <t>RDE-000008</t>
        </is>
      </c>
      <c r="B12" s="6" t="inlineStr">
        <is>
          <t>RDS-000002</t>
        </is>
      </c>
      <c r="C12" s="6" t="inlineStr">
        <is>
          <t>PRJ-000002</t>
        </is>
      </c>
      <c r="D12" s="6" t="inlineStr">
        <is>
          <t>pre_assessment</t>
        </is>
      </c>
      <c r="E12" s="6" t="inlineStr">
        <is>
          <t>2026-10-01T16:00:00Z</t>
        </is>
      </c>
      <c r="F12" s="6" t="inlineStr">
        <is>
          <t>1.0.0</t>
        </is>
      </c>
      <c r="G12" s="6" t="inlineStr">
        <is>
          <t>process</t>
        </is>
      </c>
      <c r="H12" s="14">
        <f>IF(tblReadiness[[#This Row],[readiness_entry_id]]="","",IFERROR(INDEX(tblReadinessWeights[weight],MATCH(tblReadiness[[#This Row],[category]],tblReadinessWeights[category],0)),"unknown_category"))</f>
        <v/>
      </c>
      <c r="I12" s="7" t="n">
        <v>4</v>
      </c>
      <c r="J12" s="7" t="n">
        <v>3</v>
      </c>
      <c r="K12" s="16">
        <f>IF(tblReadiness[[#This Row],[readiness_entry_id]]="","",IF(AND(ISNUMBER(tblReadiness[[#This Row],[criteria_total_count]]),ISNUMBER(tblReadiness[[#This Row],[criteria_met_count]])),IF(AND(tblReadiness[[#This Row],[criteria_total_count]]&gt;=1,tblReadiness[[#This Row],[criteria_met_count]]&gt;=0,tblReadiness[[#This Row],[criteria_met_count]]&lt;=tblReadiness[[#This Row],[criteria_total_count]]),tblReadiness[[#This Row],[criteria_met_count]]/tblReadiness[[#This Row],[criteria_total_count]],"invalid_criteria_counts"),"invalid_criteria_counts"))</f>
        <v/>
      </c>
      <c r="L12" s="14">
        <f>IF(tblReadiness[[#This Row],[readiness_entry_id]]="","",IF(ISNUMBER(tblReadiness[[#This Row],[weighted_result]]),ROUND(tblReadiness[[#This Row],[weighted_result]],2),""))</f>
        <v/>
      </c>
      <c r="M12" s="7" t="b">
        <v>1</v>
      </c>
      <c r="N12" s="6" t="inlineStr">
        <is>
          <t>MLS-000004</t>
        </is>
      </c>
      <c r="O12" s="14">
        <f>IF(tblReadiness[[#This Row],[readiness_entry_id]]="","",IF(COUNTIFS(tblReadiness[readiness_scorecard_id],tblReadiness[[#This Row],[readiness_scorecard_id]],tblReadiness[category_count_check],"complete")&lt;&gt;ROWS(tblReadinessWeights[category]),"incomplete_scorecard",IFERROR(ROUND(100*SUMIFS(tblReadiness[weighted_result],tblReadiness[readiness_scorecard_id],tblReadiness[[#This Row],[readiness_scorecard_id]])/SUMIFS(tblReadiness[weight],tblReadiness[readiness_scorecard_id],tblReadiness[[#This Row],[readiness_scorecard_id]]),2),"incomplete_scorecard")))</f>
        <v/>
      </c>
      <c r="P12" s="14">
        <f>IF(tblReadiness[[#This Row],[readiness_entry_id]]="","",COUNTIFS(tblReadiness[readiness_scorecard_id],tblReadiness[[#This Row],[readiness_scorecard_id]],tblReadiness[required_evidence_complete_flag],FALSE)&gt;0)</f>
        <v/>
      </c>
      <c r="Q12" s="6" t="inlineStr">
        <is>
          <t>0.1.0</t>
        </is>
      </c>
      <c r="R12" s="14">
        <f>IF(tblReadiness[[#This Row],[readiness_entry_id]]="","",IF(AND(ISNUMBER(tblReadiness[[#This Row],[weight]]),ISNUMBER(tblReadiness[[#This Row],[achieved_rate]])),tblReadiness[[#This Row],[weight]]*tblReadiness[[#This Row],[achieved_rate]],""))</f>
        <v/>
      </c>
      <c r="S12" s="14">
        <f>IF(tblReadiness[[#This Row],[readiness_entry_id]]="","",IF(COUNTIF(tblReadiness[readiness_scorecard_id],tblReadiness[[#This Row],[readiness_scorecard_id]])&lt;&gt;ROWS(tblReadinessWeights[category]),"missing_or_extra_category",IF(COUNTIFS(tblReadiness[readiness_scorecard_id],tblReadiness[[#This Row],[readiness_scorecard_id]],tblReadiness[category],tblReadiness[[#This Row],[category]])&lt;&gt;1,"duplicate_category",IF(COUNTIF(tblReadinessWeights[category],tblReadiness[[#This Row],[category]])=0,"unknown_category","complete"))))</f>
        <v/>
      </c>
    </row>
    <row r="13">
      <c r="A13" s="6" t="inlineStr">
        <is>
          <t>RDE-000009</t>
        </is>
      </c>
      <c r="B13" s="6" t="inlineStr">
        <is>
          <t>RDS-000002</t>
        </is>
      </c>
      <c r="C13" s="6" t="inlineStr">
        <is>
          <t>PRJ-000002</t>
        </is>
      </c>
      <c r="D13" s="6" t="inlineStr">
        <is>
          <t>pre_assessment</t>
        </is>
      </c>
      <c r="E13" s="6" t="inlineStr">
        <is>
          <t>2026-10-01T16:00:00Z</t>
        </is>
      </c>
      <c r="F13" s="6" t="inlineStr">
        <is>
          <t>1.0.0</t>
        </is>
      </c>
      <c r="G13" s="6" t="inlineStr">
        <is>
          <t>technology</t>
        </is>
      </c>
      <c r="H13" s="14">
        <f>IF(tblReadiness[[#This Row],[readiness_entry_id]]="","",IFERROR(INDEX(tblReadinessWeights[weight],MATCH(tblReadiness[[#This Row],[category]],tblReadinessWeights[category],0)),"unknown_category"))</f>
        <v/>
      </c>
      <c r="I13" s="7" t="n">
        <v>5</v>
      </c>
      <c r="J13" s="7" t="n">
        <v>2</v>
      </c>
      <c r="K13" s="16">
        <f>IF(tblReadiness[[#This Row],[readiness_entry_id]]="","",IF(AND(ISNUMBER(tblReadiness[[#This Row],[criteria_total_count]]),ISNUMBER(tblReadiness[[#This Row],[criteria_met_count]])),IF(AND(tblReadiness[[#This Row],[criteria_total_count]]&gt;=1,tblReadiness[[#This Row],[criteria_met_count]]&gt;=0,tblReadiness[[#This Row],[criteria_met_count]]&lt;=tblReadiness[[#This Row],[criteria_total_count]]),tblReadiness[[#This Row],[criteria_met_count]]/tblReadiness[[#This Row],[criteria_total_count]],"invalid_criteria_counts"),"invalid_criteria_counts"))</f>
        <v/>
      </c>
      <c r="L13" s="14">
        <f>IF(tblReadiness[[#This Row],[readiness_entry_id]]="","",IF(ISNUMBER(tblReadiness[[#This Row],[weighted_result]]),ROUND(tblReadiness[[#This Row],[weighted_result]],2),""))</f>
        <v/>
      </c>
      <c r="M13" s="7" t="b">
        <v>0</v>
      </c>
      <c r="N13" s="6" t="inlineStr">
        <is>
          <t>TSK-000008;TSK-000010</t>
        </is>
      </c>
      <c r="O13" s="14">
        <f>IF(tblReadiness[[#This Row],[readiness_entry_id]]="","",IF(COUNTIFS(tblReadiness[readiness_scorecard_id],tblReadiness[[#This Row],[readiness_scorecard_id]],tblReadiness[category_count_check],"complete")&lt;&gt;ROWS(tblReadinessWeights[category]),"incomplete_scorecard",IFERROR(ROUND(100*SUMIFS(tblReadiness[weighted_result],tblReadiness[readiness_scorecard_id],tblReadiness[[#This Row],[readiness_scorecard_id]])/SUMIFS(tblReadiness[weight],tblReadiness[readiness_scorecard_id],tblReadiness[[#This Row],[readiness_scorecard_id]]),2),"incomplete_scorecard")))</f>
        <v/>
      </c>
      <c r="P13" s="14">
        <f>IF(tblReadiness[[#This Row],[readiness_entry_id]]="","",COUNTIFS(tblReadiness[readiness_scorecard_id],tblReadiness[[#This Row],[readiness_scorecard_id]],tblReadiness[required_evidence_complete_flag],FALSE)&gt;0)</f>
        <v/>
      </c>
      <c r="Q13" s="6" t="inlineStr">
        <is>
          <t>0.1.0</t>
        </is>
      </c>
      <c r="R13" s="14">
        <f>IF(tblReadiness[[#This Row],[readiness_entry_id]]="","",IF(AND(ISNUMBER(tblReadiness[[#This Row],[weight]]),ISNUMBER(tblReadiness[[#This Row],[achieved_rate]])),tblReadiness[[#This Row],[weight]]*tblReadiness[[#This Row],[achieved_rate]],""))</f>
        <v/>
      </c>
      <c r="S13" s="14">
        <f>IF(tblReadiness[[#This Row],[readiness_entry_id]]="","",IF(COUNTIF(tblReadiness[readiness_scorecard_id],tblReadiness[[#This Row],[readiness_scorecard_id]])&lt;&gt;ROWS(tblReadinessWeights[category]),"missing_or_extra_category",IF(COUNTIFS(tblReadiness[readiness_scorecard_id],tblReadiness[[#This Row],[readiness_scorecard_id]],tblReadiness[category],tblReadiness[[#This Row],[category]])&lt;&gt;1,"duplicate_category",IF(COUNTIF(tblReadinessWeights[category],tblReadiness[[#This Row],[category]])=0,"unknown_category","complete"))))</f>
        <v/>
      </c>
    </row>
    <row r="14">
      <c r="A14" s="6" t="inlineStr">
        <is>
          <t>RDE-000010</t>
        </is>
      </c>
      <c r="B14" s="6" t="inlineStr">
        <is>
          <t>RDS-000002</t>
        </is>
      </c>
      <c r="C14" s="6" t="inlineStr">
        <is>
          <t>PRJ-000002</t>
        </is>
      </c>
      <c r="D14" s="6" t="inlineStr">
        <is>
          <t>pre_assessment</t>
        </is>
      </c>
      <c r="E14" s="6" t="inlineStr">
        <is>
          <t>2026-10-01T16:00:00Z</t>
        </is>
      </c>
      <c r="F14" s="6" t="inlineStr">
        <is>
          <t>1.0.0</t>
        </is>
      </c>
      <c r="G14" s="6" t="inlineStr">
        <is>
          <t>data</t>
        </is>
      </c>
      <c r="H14" s="14">
        <f>IF(tblReadiness[[#This Row],[readiness_entry_id]]="","",IFERROR(INDEX(tblReadinessWeights[weight],MATCH(tblReadiness[[#This Row],[category]],tblReadinessWeights[category],0)),"unknown_category"))</f>
        <v/>
      </c>
      <c r="I14" s="7" t="n">
        <v>4</v>
      </c>
      <c r="J14" s="7" t="n">
        <v>1</v>
      </c>
      <c r="K14" s="16">
        <f>IF(tblReadiness[[#This Row],[readiness_entry_id]]="","",IF(AND(ISNUMBER(tblReadiness[[#This Row],[criteria_total_count]]),ISNUMBER(tblReadiness[[#This Row],[criteria_met_count]])),IF(AND(tblReadiness[[#This Row],[criteria_total_count]]&gt;=1,tblReadiness[[#This Row],[criteria_met_count]]&gt;=0,tblReadiness[[#This Row],[criteria_met_count]]&lt;=tblReadiness[[#This Row],[criteria_total_count]]),tblReadiness[[#This Row],[criteria_met_count]]/tblReadiness[[#This Row],[criteria_total_count]],"invalid_criteria_counts"),"invalid_criteria_counts"))</f>
        <v/>
      </c>
      <c r="L14" s="14">
        <f>IF(tblReadiness[[#This Row],[readiness_entry_id]]="","",IF(ISNUMBER(tblReadiness[[#This Row],[weighted_result]]),ROUND(tblReadiness[[#This Row],[weighted_result]],2),""))</f>
        <v/>
      </c>
      <c r="M14" s="7" t="b">
        <v>0</v>
      </c>
      <c r="N14" s="6" t="inlineStr">
        <is>
          <t>TSK-000014</t>
        </is>
      </c>
      <c r="O14" s="14">
        <f>IF(tblReadiness[[#This Row],[readiness_entry_id]]="","",IF(COUNTIFS(tblReadiness[readiness_scorecard_id],tblReadiness[[#This Row],[readiness_scorecard_id]],tblReadiness[category_count_check],"complete")&lt;&gt;ROWS(tblReadinessWeights[category]),"incomplete_scorecard",IFERROR(ROUND(100*SUMIFS(tblReadiness[weighted_result],tblReadiness[readiness_scorecard_id],tblReadiness[[#This Row],[readiness_scorecard_id]])/SUMIFS(tblReadiness[weight],tblReadiness[readiness_scorecard_id],tblReadiness[[#This Row],[readiness_scorecard_id]]),2),"incomplete_scorecard")))</f>
        <v/>
      </c>
      <c r="P14" s="14">
        <f>IF(tblReadiness[[#This Row],[readiness_entry_id]]="","",COUNTIFS(tblReadiness[readiness_scorecard_id],tblReadiness[[#This Row],[readiness_scorecard_id]],tblReadiness[required_evidence_complete_flag],FALSE)&gt;0)</f>
        <v/>
      </c>
      <c r="Q14" s="6" t="inlineStr">
        <is>
          <t>0.1.0</t>
        </is>
      </c>
      <c r="R14" s="14">
        <f>IF(tblReadiness[[#This Row],[readiness_entry_id]]="","",IF(AND(ISNUMBER(tblReadiness[[#This Row],[weight]]),ISNUMBER(tblReadiness[[#This Row],[achieved_rate]])),tblReadiness[[#This Row],[weight]]*tblReadiness[[#This Row],[achieved_rate]],""))</f>
        <v/>
      </c>
      <c r="S14" s="14">
        <f>IF(tblReadiness[[#This Row],[readiness_entry_id]]="","",IF(COUNTIF(tblReadiness[readiness_scorecard_id],tblReadiness[[#This Row],[readiness_scorecard_id]])&lt;&gt;ROWS(tblReadinessWeights[category]),"missing_or_extra_category",IF(COUNTIFS(tblReadiness[readiness_scorecard_id],tblReadiness[[#This Row],[readiness_scorecard_id]],tblReadiness[category],tblReadiness[[#This Row],[category]])&lt;&gt;1,"duplicate_category",IF(COUNTIF(tblReadinessWeights[category],tblReadiness[[#This Row],[category]])=0,"unknown_category","complete"))))</f>
        <v/>
      </c>
    </row>
    <row r="15">
      <c r="A15" s="6" t="inlineStr">
        <is>
          <t>RDE-000011</t>
        </is>
      </c>
      <c r="B15" s="6" t="inlineStr">
        <is>
          <t>RDS-000002</t>
        </is>
      </c>
      <c r="C15" s="6" t="inlineStr">
        <is>
          <t>PRJ-000002</t>
        </is>
      </c>
      <c r="D15" s="6" t="inlineStr">
        <is>
          <t>pre_assessment</t>
        </is>
      </c>
      <c r="E15" s="6" t="inlineStr">
        <is>
          <t>2026-10-01T16:00:00Z</t>
        </is>
      </c>
      <c r="F15" s="6" t="inlineStr">
        <is>
          <t>1.0.0</t>
        </is>
      </c>
      <c r="G15" s="6" t="inlineStr">
        <is>
          <t>training</t>
        </is>
      </c>
      <c r="H15" s="14">
        <f>IF(tblReadiness[[#This Row],[readiness_entry_id]]="","",IFERROR(INDEX(tblReadinessWeights[weight],MATCH(tblReadiness[[#This Row],[category]],tblReadinessWeights[category],0)),"unknown_category"))</f>
        <v/>
      </c>
      <c r="I15" s="7" t="n">
        <v>4</v>
      </c>
      <c r="J15" s="7" t="n">
        <v>0</v>
      </c>
      <c r="K15" s="16">
        <f>IF(tblReadiness[[#This Row],[readiness_entry_id]]="","",IF(AND(ISNUMBER(tblReadiness[[#This Row],[criteria_total_count]]),ISNUMBER(tblReadiness[[#This Row],[criteria_met_count]])),IF(AND(tblReadiness[[#This Row],[criteria_total_count]]&gt;=1,tblReadiness[[#This Row],[criteria_met_count]]&gt;=0,tblReadiness[[#This Row],[criteria_met_count]]&lt;=tblReadiness[[#This Row],[criteria_total_count]]),tblReadiness[[#This Row],[criteria_met_count]]/tblReadiness[[#This Row],[criteria_total_count]],"invalid_criteria_counts"),"invalid_criteria_counts"))</f>
        <v/>
      </c>
      <c r="L15" s="14">
        <f>IF(tblReadiness[[#This Row],[readiness_entry_id]]="","",IF(ISNUMBER(tblReadiness[[#This Row],[weighted_result]]),ROUND(tblReadiness[[#This Row],[weighted_result]],2),""))</f>
        <v/>
      </c>
      <c r="M15" s="7" t="b">
        <v>0</v>
      </c>
      <c r="N15" s="6" t="n"/>
      <c r="O15" s="14">
        <f>IF(tblReadiness[[#This Row],[readiness_entry_id]]="","",IF(COUNTIFS(tblReadiness[readiness_scorecard_id],tblReadiness[[#This Row],[readiness_scorecard_id]],tblReadiness[category_count_check],"complete")&lt;&gt;ROWS(tblReadinessWeights[category]),"incomplete_scorecard",IFERROR(ROUND(100*SUMIFS(tblReadiness[weighted_result],tblReadiness[readiness_scorecard_id],tblReadiness[[#This Row],[readiness_scorecard_id]])/SUMIFS(tblReadiness[weight],tblReadiness[readiness_scorecard_id],tblReadiness[[#This Row],[readiness_scorecard_id]]),2),"incomplete_scorecard")))</f>
        <v/>
      </c>
      <c r="P15" s="14">
        <f>IF(tblReadiness[[#This Row],[readiness_entry_id]]="","",COUNTIFS(tblReadiness[readiness_scorecard_id],tblReadiness[[#This Row],[readiness_scorecard_id]],tblReadiness[required_evidence_complete_flag],FALSE)&gt;0)</f>
        <v/>
      </c>
      <c r="Q15" s="6" t="inlineStr">
        <is>
          <t>0.1.0</t>
        </is>
      </c>
      <c r="R15" s="14">
        <f>IF(tblReadiness[[#This Row],[readiness_entry_id]]="","",IF(AND(ISNUMBER(tblReadiness[[#This Row],[weight]]),ISNUMBER(tblReadiness[[#This Row],[achieved_rate]])),tblReadiness[[#This Row],[weight]]*tblReadiness[[#This Row],[achieved_rate]],""))</f>
        <v/>
      </c>
      <c r="S15" s="14">
        <f>IF(tblReadiness[[#This Row],[readiness_entry_id]]="","",IF(COUNTIF(tblReadiness[readiness_scorecard_id],tblReadiness[[#This Row],[readiness_scorecard_id]])&lt;&gt;ROWS(tblReadinessWeights[category]),"missing_or_extra_category",IF(COUNTIFS(tblReadiness[readiness_scorecard_id],tblReadiness[[#This Row],[readiness_scorecard_id]],tblReadiness[category],tblReadiness[[#This Row],[category]])&lt;&gt;1,"duplicate_category",IF(COUNTIF(tblReadinessWeights[category],tblReadiness[[#This Row],[category]])=0,"unknown_category","complete"))))</f>
        <v/>
      </c>
    </row>
    <row r="16">
      <c r="A16" s="6" t="inlineStr">
        <is>
          <t>RDE-000012</t>
        </is>
      </c>
      <c r="B16" s="6" t="inlineStr">
        <is>
          <t>RDS-000002</t>
        </is>
      </c>
      <c r="C16" s="6" t="inlineStr">
        <is>
          <t>PRJ-000002</t>
        </is>
      </c>
      <c r="D16" s="6" t="inlineStr">
        <is>
          <t>pre_assessment</t>
        </is>
      </c>
      <c r="E16" s="6" t="inlineStr">
        <is>
          <t>2026-10-01T16:00:00Z</t>
        </is>
      </c>
      <c r="F16" s="6" t="inlineStr">
        <is>
          <t>1.0.0</t>
        </is>
      </c>
      <c r="G16" s="6" t="inlineStr">
        <is>
          <t>support</t>
        </is>
      </c>
      <c r="H16" s="14">
        <f>IF(tblReadiness[[#This Row],[readiness_entry_id]]="","",IFERROR(INDEX(tblReadinessWeights[weight],MATCH(tblReadiness[[#This Row],[category]],tblReadinessWeights[category],0)),"unknown_category"))</f>
        <v/>
      </c>
      <c r="I16" s="7" t="n">
        <v>4</v>
      </c>
      <c r="J16" s="7" t="n">
        <v>0</v>
      </c>
      <c r="K16" s="16">
        <f>IF(tblReadiness[[#This Row],[readiness_entry_id]]="","",IF(AND(ISNUMBER(tblReadiness[[#This Row],[criteria_total_count]]),ISNUMBER(tblReadiness[[#This Row],[criteria_met_count]])),IF(AND(tblReadiness[[#This Row],[criteria_total_count]]&gt;=1,tblReadiness[[#This Row],[criteria_met_count]]&gt;=0,tblReadiness[[#This Row],[criteria_met_count]]&lt;=tblReadiness[[#This Row],[criteria_total_count]]),tblReadiness[[#This Row],[criteria_met_count]]/tblReadiness[[#This Row],[criteria_total_count]],"invalid_criteria_counts"),"invalid_criteria_counts"))</f>
        <v/>
      </c>
      <c r="L16" s="14">
        <f>IF(tblReadiness[[#This Row],[readiness_entry_id]]="","",IF(ISNUMBER(tblReadiness[[#This Row],[weighted_result]]),ROUND(tblReadiness[[#This Row],[weighted_result]],2),""))</f>
        <v/>
      </c>
      <c r="M16" s="7" t="b">
        <v>0</v>
      </c>
      <c r="N16" s="6" t="n"/>
      <c r="O16" s="14">
        <f>IF(tblReadiness[[#This Row],[readiness_entry_id]]="","",IF(COUNTIFS(tblReadiness[readiness_scorecard_id],tblReadiness[[#This Row],[readiness_scorecard_id]],tblReadiness[category_count_check],"complete")&lt;&gt;ROWS(tblReadinessWeights[category]),"incomplete_scorecard",IFERROR(ROUND(100*SUMIFS(tblReadiness[weighted_result],tblReadiness[readiness_scorecard_id],tblReadiness[[#This Row],[readiness_scorecard_id]])/SUMIFS(tblReadiness[weight],tblReadiness[readiness_scorecard_id],tblReadiness[[#This Row],[readiness_scorecard_id]]),2),"incomplete_scorecard")))</f>
        <v/>
      </c>
      <c r="P16" s="14">
        <f>IF(tblReadiness[[#This Row],[readiness_entry_id]]="","",COUNTIFS(tblReadiness[readiness_scorecard_id],tblReadiness[[#This Row],[readiness_scorecard_id]],tblReadiness[required_evidence_complete_flag],FALSE)&gt;0)</f>
        <v/>
      </c>
      <c r="Q16" s="6" t="inlineStr">
        <is>
          <t>0.1.0</t>
        </is>
      </c>
      <c r="R16" s="14">
        <f>IF(tblReadiness[[#This Row],[readiness_entry_id]]="","",IF(AND(ISNUMBER(tblReadiness[[#This Row],[weight]]),ISNUMBER(tblReadiness[[#This Row],[achieved_rate]])),tblReadiness[[#This Row],[weight]]*tblReadiness[[#This Row],[achieved_rate]],""))</f>
        <v/>
      </c>
      <c r="S16" s="14">
        <f>IF(tblReadiness[[#This Row],[readiness_entry_id]]="","",IF(COUNTIF(tblReadiness[readiness_scorecard_id],tblReadiness[[#This Row],[readiness_scorecard_id]])&lt;&gt;ROWS(tblReadinessWeights[category]),"missing_or_extra_category",IF(COUNTIFS(tblReadiness[readiness_scorecard_id],tblReadiness[[#This Row],[readiness_scorecard_id]],tblReadiness[category],tblReadiness[[#This Row],[category]])&lt;&gt;1,"duplicate_category",IF(COUNTIF(tblReadinessWeights[category],tblReadiness[[#This Row],[category]])=0,"unknown_category","complete"))))</f>
        <v/>
      </c>
    </row>
    <row r="17">
      <c r="A17" s="6" t="inlineStr">
        <is>
          <t>RDE-000013</t>
        </is>
      </c>
      <c r="B17" s="6" t="inlineStr">
        <is>
          <t>RDS-000003</t>
        </is>
      </c>
      <c r="C17" s="6" t="inlineStr">
        <is>
          <t>PRJ-000003</t>
        </is>
      </c>
      <c r="D17" s="6" t="inlineStr">
        <is>
          <t>launch_review</t>
        </is>
      </c>
      <c r="E17" s="6" t="inlineStr">
        <is>
          <t>2026-10-02T15:00:00Z</t>
        </is>
      </c>
      <c r="F17" s="6" t="inlineStr">
        <is>
          <t>1.0.0</t>
        </is>
      </c>
      <c r="G17" s="6" t="inlineStr">
        <is>
          <t>people</t>
        </is>
      </c>
      <c r="H17" s="14">
        <f>IF(tblReadiness[[#This Row],[readiness_entry_id]]="","",IFERROR(INDEX(tblReadinessWeights[weight],MATCH(tblReadiness[[#This Row],[category]],tblReadinessWeights[category],0)),"unknown_category"))</f>
        <v/>
      </c>
      <c r="I17" s="7" t="n">
        <v>4</v>
      </c>
      <c r="J17" s="7" t="n">
        <v>4</v>
      </c>
      <c r="K17" s="16">
        <f>IF(tblReadiness[[#This Row],[readiness_entry_id]]="","",IF(AND(ISNUMBER(tblReadiness[[#This Row],[criteria_total_count]]),ISNUMBER(tblReadiness[[#This Row],[criteria_met_count]])),IF(AND(tblReadiness[[#This Row],[criteria_total_count]]&gt;=1,tblReadiness[[#This Row],[criteria_met_count]]&gt;=0,tblReadiness[[#This Row],[criteria_met_count]]&lt;=tblReadiness[[#This Row],[criteria_total_count]]),tblReadiness[[#This Row],[criteria_met_count]]/tblReadiness[[#This Row],[criteria_total_count]],"invalid_criteria_counts"),"invalid_criteria_counts"))</f>
        <v/>
      </c>
      <c r="L17" s="14">
        <f>IF(tblReadiness[[#This Row],[readiness_entry_id]]="","",IF(ISNUMBER(tblReadiness[[#This Row],[weighted_result]]),ROUND(tblReadiness[[#This Row],[weighted_result]],2),""))</f>
        <v/>
      </c>
      <c r="M17" s="7" t="b">
        <v>1</v>
      </c>
      <c r="N17" s="6" t="inlineStr">
        <is>
          <t>TSK-000028</t>
        </is>
      </c>
      <c r="O17" s="14">
        <f>IF(tblReadiness[[#This Row],[readiness_entry_id]]="","",IF(COUNTIFS(tblReadiness[readiness_scorecard_id],tblReadiness[[#This Row],[readiness_scorecard_id]],tblReadiness[category_count_check],"complete")&lt;&gt;ROWS(tblReadinessWeights[category]),"incomplete_scorecard",IFERROR(ROUND(100*SUMIFS(tblReadiness[weighted_result],tblReadiness[readiness_scorecard_id],tblReadiness[[#This Row],[readiness_scorecard_id]])/SUMIFS(tblReadiness[weight],tblReadiness[readiness_scorecard_id],tblReadiness[[#This Row],[readiness_scorecard_id]]),2),"incomplete_scorecard")))</f>
        <v/>
      </c>
      <c r="P17" s="14">
        <f>IF(tblReadiness[[#This Row],[readiness_entry_id]]="","",COUNTIFS(tblReadiness[readiness_scorecard_id],tblReadiness[[#This Row],[readiness_scorecard_id]],tblReadiness[required_evidence_complete_flag],FALSE)&gt;0)</f>
        <v/>
      </c>
      <c r="Q17" s="6" t="inlineStr">
        <is>
          <t>0.1.0</t>
        </is>
      </c>
      <c r="R17" s="14">
        <f>IF(tblReadiness[[#This Row],[readiness_entry_id]]="","",IF(AND(ISNUMBER(tblReadiness[[#This Row],[weight]]),ISNUMBER(tblReadiness[[#This Row],[achieved_rate]])),tblReadiness[[#This Row],[weight]]*tblReadiness[[#This Row],[achieved_rate]],""))</f>
        <v/>
      </c>
      <c r="S17" s="14">
        <f>IF(tblReadiness[[#This Row],[readiness_entry_id]]="","",IF(COUNTIF(tblReadiness[readiness_scorecard_id],tblReadiness[[#This Row],[readiness_scorecard_id]])&lt;&gt;ROWS(tblReadinessWeights[category]),"missing_or_extra_category",IF(COUNTIFS(tblReadiness[readiness_scorecard_id],tblReadiness[[#This Row],[readiness_scorecard_id]],tblReadiness[category],tblReadiness[[#This Row],[category]])&lt;&gt;1,"duplicate_category",IF(COUNTIF(tblReadinessWeights[category],tblReadiness[[#This Row],[category]])=0,"unknown_category","complete"))))</f>
        <v/>
      </c>
    </row>
    <row r="18">
      <c r="A18" s="6" t="inlineStr">
        <is>
          <t>RDE-000014</t>
        </is>
      </c>
      <c r="B18" s="6" t="inlineStr">
        <is>
          <t>RDS-000003</t>
        </is>
      </c>
      <c r="C18" s="6" t="inlineStr">
        <is>
          <t>PRJ-000003</t>
        </is>
      </c>
      <c r="D18" s="6" t="inlineStr">
        <is>
          <t>launch_review</t>
        </is>
      </c>
      <c r="E18" s="6" t="inlineStr">
        <is>
          <t>2026-10-02T15:00:00Z</t>
        </is>
      </c>
      <c r="F18" s="6" t="inlineStr">
        <is>
          <t>1.0.0</t>
        </is>
      </c>
      <c r="G18" s="6" t="inlineStr">
        <is>
          <t>process</t>
        </is>
      </c>
      <c r="H18" s="14">
        <f>IF(tblReadiness[[#This Row],[readiness_entry_id]]="","",IFERROR(INDEX(tblReadinessWeights[weight],MATCH(tblReadiness[[#This Row],[category]],tblReadinessWeights[category],0)),"unknown_category"))</f>
        <v/>
      </c>
      <c r="I18" s="7" t="n">
        <v>4</v>
      </c>
      <c r="J18" s="7" t="n">
        <v>4</v>
      </c>
      <c r="K18" s="16">
        <f>IF(tblReadiness[[#This Row],[readiness_entry_id]]="","",IF(AND(ISNUMBER(tblReadiness[[#This Row],[criteria_total_count]]),ISNUMBER(tblReadiness[[#This Row],[criteria_met_count]])),IF(AND(tblReadiness[[#This Row],[criteria_total_count]]&gt;=1,tblReadiness[[#This Row],[criteria_met_count]]&gt;=0,tblReadiness[[#This Row],[criteria_met_count]]&lt;=tblReadiness[[#This Row],[criteria_total_count]]),tblReadiness[[#This Row],[criteria_met_count]]/tblReadiness[[#This Row],[criteria_total_count]],"invalid_criteria_counts"),"invalid_criteria_counts"))</f>
        <v/>
      </c>
      <c r="L18" s="14">
        <f>IF(tblReadiness[[#This Row],[readiness_entry_id]]="","",IF(ISNUMBER(tblReadiness[[#This Row],[weighted_result]]),ROUND(tblReadiness[[#This Row],[weighted_result]],2),""))</f>
        <v/>
      </c>
      <c r="M18" s="7" t="b">
        <v>1</v>
      </c>
      <c r="N18" s="6" t="inlineStr">
        <is>
          <t>MLS-000008</t>
        </is>
      </c>
      <c r="O18" s="14">
        <f>IF(tblReadiness[[#This Row],[readiness_entry_id]]="","",IF(COUNTIFS(tblReadiness[readiness_scorecard_id],tblReadiness[[#This Row],[readiness_scorecard_id]],tblReadiness[category_count_check],"complete")&lt;&gt;ROWS(tblReadinessWeights[category]),"incomplete_scorecard",IFERROR(ROUND(100*SUMIFS(tblReadiness[weighted_result],tblReadiness[readiness_scorecard_id],tblReadiness[[#This Row],[readiness_scorecard_id]])/SUMIFS(tblReadiness[weight],tblReadiness[readiness_scorecard_id],tblReadiness[[#This Row],[readiness_scorecard_id]]),2),"incomplete_scorecard")))</f>
        <v/>
      </c>
      <c r="P18" s="14">
        <f>IF(tblReadiness[[#This Row],[readiness_entry_id]]="","",COUNTIFS(tblReadiness[readiness_scorecard_id],tblReadiness[[#This Row],[readiness_scorecard_id]],tblReadiness[required_evidence_complete_flag],FALSE)&gt;0)</f>
        <v/>
      </c>
      <c r="Q18" s="6" t="inlineStr">
        <is>
          <t>0.1.0</t>
        </is>
      </c>
      <c r="R18" s="14">
        <f>IF(tblReadiness[[#This Row],[readiness_entry_id]]="","",IF(AND(ISNUMBER(tblReadiness[[#This Row],[weight]]),ISNUMBER(tblReadiness[[#This Row],[achieved_rate]])),tblReadiness[[#This Row],[weight]]*tblReadiness[[#This Row],[achieved_rate]],""))</f>
        <v/>
      </c>
      <c r="S18" s="14">
        <f>IF(tblReadiness[[#This Row],[readiness_entry_id]]="","",IF(COUNTIF(tblReadiness[readiness_scorecard_id],tblReadiness[[#This Row],[readiness_scorecard_id]])&lt;&gt;ROWS(tblReadinessWeights[category]),"missing_or_extra_category",IF(COUNTIFS(tblReadiness[readiness_scorecard_id],tblReadiness[[#This Row],[readiness_scorecard_id]],tblReadiness[category],tblReadiness[[#This Row],[category]])&lt;&gt;1,"duplicate_category",IF(COUNTIF(tblReadinessWeights[category],tblReadiness[[#This Row],[category]])=0,"unknown_category","complete"))))</f>
        <v/>
      </c>
    </row>
    <row r="19">
      <c r="A19" s="6" t="inlineStr">
        <is>
          <t>RDE-000015</t>
        </is>
      </c>
      <c r="B19" s="6" t="inlineStr">
        <is>
          <t>RDS-000003</t>
        </is>
      </c>
      <c r="C19" s="6" t="inlineStr">
        <is>
          <t>PRJ-000003</t>
        </is>
      </c>
      <c r="D19" s="6" t="inlineStr">
        <is>
          <t>launch_review</t>
        </is>
      </c>
      <c r="E19" s="6" t="inlineStr">
        <is>
          <t>2026-10-02T15:00:00Z</t>
        </is>
      </c>
      <c r="F19" s="6" t="inlineStr">
        <is>
          <t>1.0.0</t>
        </is>
      </c>
      <c r="G19" s="6" t="inlineStr">
        <is>
          <t>technology</t>
        </is>
      </c>
      <c r="H19" s="14">
        <f>IF(tblReadiness[[#This Row],[readiness_entry_id]]="","",IFERROR(INDEX(tblReadinessWeights[weight],MATCH(tblReadiness[[#This Row],[category]],tblReadinessWeights[category],0)),"unknown_category"))</f>
        <v/>
      </c>
      <c r="I19" s="7" t="n">
        <v>5</v>
      </c>
      <c r="J19" s="7" t="n">
        <v>5</v>
      </c>
      <c r="K19" s="16">
        <f>IF(tblReadiness[[#This Row],[readiness_entry_id]]="","",IF(AND(ISNUMBER(tblReadiness[[#This Row],[criteria_total_count]]),ISNUMBER(tblReadiness[[#This Row],[criteria_met_count]])),IF(AND(tblReadiness[[#This Row],[criteria_total_count]]&gt;=1,tblReadiness[[#This Row],[criteria_met_count]]&gt;=0,tblReadiness[[#This Row],[criteria_met_count]]&lt;=tblReadiness[[#This Row],[criteria_total_count]]),tblReadiness[[#This Row],[criteria_met_count]]/tblReadiness[[#This Row],[criteria_total_count]],"invalid_criteria_counts"),"invalid_criteria_counts"))</f>
        <v/>
      </c>
      <c r="L19" s="14">
        <f>IF(tblReadiness[[#This Row],[readiness_entry_id]]="","",IF(ISNUMBER(tblReadiness[[#This Row],[weighted_result]]),ROUND(tblReadiness[[#This Row],[weighted_result]],2),""))</f>
        <v/>
      </c>
      <c r="M19" s="7" t="b">
        <v>1</v>
      </c>
      <c r="N19" s="6" t="inlineStr">
        <is>
          <t>MLS-000010;TSK-000022</t>
        </is>
      </c>
      <c r="O19" s="14">
        <f>IF(tblReadiness[[#This Row],[readiness_entry_id]]="","",IF(COUNTIFS(tblReadiness[readiness_scorecard_id],tblReadiness[[#This Row],[readiness_scorecard_id]],tblReadiness[category_count_check],"complete")&lt;&gt;ROWS(tblReadinessWeights[category]),"incomplete_scorecard",IFERROR(ROUND(100*SUMIFS(tblReadiness[weighted_result],tblReadiness[readiness_scorecard_id],tblReadiness[[#This Row],[readiness_scorecard_id]])/SUMIFS(tblReadiness[weight],tblReadiness[readiness_scorecard_id],tblReadiness[[#This Row],[readiness_scorecard_id]]),2),"incomplete_scorecard")))</f>
        <v/>
      </c>
      <c r="P19" s="14">
        <f>IF(tblReadiness[[#This Row],[readiness_entry_id]]="","",COUNTIFS(tblReadiness[readiness_scorecard_id],tblReadiness[[#This Row],[readiness_scorecard_id]],tblReadiness[required_evidence_complete_flag],FALSE)&gt;0)</f>
        <v/>
      </c>
      <c r="Q19" s="6" t="inlineStr">
        <is>
          <t>0.1.0</t>
        </is>
      </c>
      <c r="R19" s="14">
        <f>IF(tblReadiness[[#This Row],[readiness_entry_id]]="","",IF(AND(ISNUMBER(tblReadiness[[#This Row],[weight]]),ISNUMBER(tblReadiness[[#This Row],[achieved_rate]])),tblReadiness[[#This Row],[weight]]*tblReadiness[[#This Row],[achieved_rate]],""))</f>
        <v/>
      </c>
      <c r="S19" s="14">
        <f>IF(tblReadiness[[#This Row],[readiness_entry_id]]="","",IF(COUNTIF(tblReadiness[readiness_scorecard_id],tblReadiness[[#This Row],[readiness_scorecard_id]])&lt;&gt;ROWS(tblReadinessWeights[category]),"missing_or_extra_category",IF(COUNTIFS(tblReadiness[readiness_scorecard_id],tblReadiness[[#This Row],[readiness_scorecard_id]],tblReadiness[category],tblReadiness[[#This Row],[category]])&lt;&gt;1,"duplicate_category",IF(COUNTIF(tblReadinessWeights[category],tblReadiness[[#This Row],[category]])=0,"unknown_category","complete"))))</f>
        <v/>
      </c>
    </row>
    <row r="20">
      <c r="A20" s="6" t="inlineStr">
        <is>
          <t>RDE-000016</t>
        </is>
      </c>
      <c r="B20" s="6" t="inlineStr">
        <is>
          <t>RDS-000003</t>
        </is>
      </c>
      <c r="C20" s="6" t="inlineStr">
        <is>
          <t>PRJ-000003</t>
        </is>
      </c>
      <c r="D20" s="6" t="inlineStr">
        <is>
          <t>launch_review</t>
        </is>
      </c>
      <c r="E20" s="6" t="inlineStr">
        <is>
          <t>2026-10-02T15:00:00Z</t>
        </is>
      </c>
      <c r="F20" s="6" t="inlineStr">
        <is>
          <t>1.0.0</t>
        </is>
      </c>
      <c r="G20" s="6" t="inlineStr">
        <is>
          <t>data</t>
        </is>
      </c>
      <c r="H20" s="14">
        <f>IF(tblReadiness[[#This Row],[readiness_entry_id]]="","",IFERROR(INDEX(tblReadinessWeights[weight],MATCH(tblReadiness[[#This Row],[category]],tblReadinessWeights[category],0)),"unknown_category"))</f>
        <v/>
      </c>
      <c r="I20" s="7" t="n">
        <v>4</v>
      </c>
      <c r="J20" s="7" t="n">
        <v>3</v>
      </c>
      <c r="K20" s="16">
        <f>IF(tblReadiness[[#This Row],[readiness_entry_id]]="","",IF(AND(ISNUMBER(tblReadiness[[#This Row],[criteria_total_count]]),ISNUMBER(tblReadiness[[#This Row],[criteria_met_count]])),IF(AND(tblReadiness[[#This Row],[criteria_total_count]]&gt;=1,tblReadiness[[#This Row],[criteria_met_count]]&gt;=0,tblReadiness[[#This Row],[criteria_met_count]]&lt;=tblReadiness[[#This Row],[criteria_total_count]]),tblReadiness[[#This Row],[criteria_met_count]]/tblReadiness[[#This Row],[criteria_total_count]],"invalid_criteria_counts"),"invalid_criteria_counts"))</f>
        <v/>
      </c>
      <c r="L20" s="14">
        <f>IF(tblReadiness[[#This Row],[readiness_entry_id]]="","",IF(ISNUMBER(tblReadiness[[#This Row],[weighted_result]]),ROUND(tblReadiness[[#This Row],[weighted_result]],2),""))</f>
        <v/>
      </c>
      <c r="M20" s="7" t="b">
        <v>1</v>
      </c>
      <c r="N20" s="6" t="inlineStr">
        <is>
          <t>TSK-000026</t>
        </is>
      </c>
      <c r="O20" s="14">
        <f>IF(tblReadiness[[#This Row],[readiness_entry_id]]="","",IF(COUNTIFS(tblReadiness[readiness_scorecard_id],tblReadiness[[#This Row],[readiness_scorecard_id]],tblReadiness[category_count_check],"complete")&lt;&gt;ROWS(tblReadinessWeights[category]),"incomplete_scorecard",IFERROR(ROUND(100*SUMIFS(tblReadiness[weighted_result],tblReadiness[readiness_scorecard_id],tblReadiness[[#This Row],[readiness_scorecard_id]])/SUMIFS(tblReadiness[weight],tblReadiness[readiness_scorecard_id],tblReadiness[[#This Row],[readiness_scorecard_id]]),2),"incomplete_scorecard")))</f>
        <v/>
      </c>
      <c r="P20" s="14">
        <f>IF(tblReadiness[[#This Row],[readiness_entry_id]]="","",COUNTIFS(tblReadiness[readiness_scorecard_id],tblReadiness[[#This Row],[readiness_scorecard_id]],tblReadiness[required_evidence_complete_flag],FALSE)&gt;0)</f>
        <v/>
      </c>
      <c r="Q20" s="6" t="inlineStr">
        <is>
          <t>0.1.0</t>
        </is>
      </c>
      <c r="R20" s="14">
        <f>IF(tblReadiness[[#This Row],[readiness_entry_id]]="","",IF(AND(ISNUMBER(tblReadiness[[#This Row],[weight]]),ISNUMBER(tblReadiness[[#This Row],[achieved_rate]])),tblReadiness[[#This Row],[weight]]*tblReadiness[[#This Row],[achieved_rate]],""))</f>
        <v/>
      </c>
      <c r="S20" s="14">
        <f>IF(tblReadiness[[#This Row],[readiness_entry_id]]="","",IF(COUNTIF(tblReadiness[readiness_scorecard_id],tblReadiness[[#This Row],[readiness_scorecard_id]])&lt;&gt;ROWS(tblReadinessWeights[category]),"missing_or_extra_category",IF(COUNTIFS(tblReadiness[readiness_scorecard_id],tblReadiness[[#This Row],[readiness_scorecard_id]],tblReadiness[category],tblReadiness[[#This Row],[category]])&lt;&gt;1,"duplicate_category",IF(COUNTIF(tblReadinessWeights[category],tblReadiness[[#This Row],[category]])=0,"unknown_category","complete"))))</f>
        <v/>
      </c>
    </row>
    <row r="21">
      <c r="A21" s="6" t="inlineStr">
        <is>
          <t>RDE-000017</t>
        </is>
      </c>
      <c r="B21" s="6" t="inlineStr">
        <is>
          <t>RDS-000003</t>
        </is>
      </c>
      <c r="C21" s="6" t="inlineStr">
        <is>
          <t>PRJ-000003</t>
        </is>
      </c>
      <c r="D21" s="6" t="inlineStr">
        <is>
          <t>launch_review</t>
        </is>
      </c>
      <c r="E21" s="6" t="inlineStr">
        <is>
          <t>2026-10-02T15:00:00Z</t>
        </is>
      </c>
      <c r="F21" s="6" t="inlineStr">
        <is>
          <t>1.0.0</t>
        </is>
      </c>
      <c r="G21" s="6" t="inlineStr">
        <is>
          <t>training</t>
        </is>
      </c>
      <c r="H21" s="14">
        <f>IF(tblReadiness[[#This Row],[readiness_entry_id]]="","",IFERROR(INDEX(tblReadinessWeights[weight],MATCH(tblReadiness[[#This Row],[category]],tblReadinessWeights[category],0)),"unknown_category"))</f>
        <v/>
      </c>
      <c r="I21" s="7" t="n">
        <v>4</v>
      </c>
      <c r="J21" s="7" t="n">
        <v>3</v>
      </c>
      <c r="K21" s="16">
        <f>IF(tblReadiness[[#This Row],[readiness_entry_id]]="","",IF(AND(ISNUMBER(tblReadiness[[#This Row],[criteria_total_count]]),ISNUMBER(tblReadiness[[#This Row],[criteria_met_count]])),IF(AND(tblReadiness[[#This Row],[criteria_total_count]]&gt;=1,tblReadiness[[#This Row],[criteria_met_count]]&gt;=0,tblReadiness[[#This Row],[criteria_met_count]]&lt;=tblReadiness[[#This Row],[criteria_total_count]]),tblReadiness[[#This Row],[criteria_met_count]]/tblReadiness[[#This Row],[criteria_total_count]],"invalid_criteria_counts"),"invalid_criteria_counts"))</f>
        <v/>
      </c>
      <c r="L21" s="14">
        <f>IF(tblReadiness[[#This Row],[readiness_entry_id]]="","",IF(ISNUMBER(tblReadiness[[#This Row],[weighted_result]]),ROUND(tblReadiness[[#This Row],[weighted_result]],2),""))</f>
        <v/>
      </c>
      <c r="M21" s="7" t="b">
        <v>0</v>
      </c>
      <c r="N21" s="6" t="inlineStr">
        <is>
          <t>MLS-000011;TSK-000024</t>
        </is>
      </c>
      <c r="O21" s="14">
        <f>IF(tblReadiness[[#This Row],[readiness_entry_id]]="","",IF(COUNTIFS(tblReadiness[readiness_scorecard_id],tblReadiness[[#This Row],[readiness_scorecard_id]],tblReadiness[category_count_check],"complete")&lt;&gt;ROWS(tblReadinessWeights[category]),"incomplete_scorecard",IFERROR(ROUND(100*SUMIFS(tblReadiness[weighted_result],tblReadiness[readiness_scorecard_id],tblReadiness[[#This Row],[readiness_scorecard_id]])/SUMIFS(tblReadiness[weight],tblReadiness[readiness_scorecard_id],tblReadiness[[#This Row],[readiness_scorecard_id]]),2),"incomplete_scorecard")))</f>
        <v/>
      </c>
      <c r="P21" s="14">
        <f>IF(tblReadiness[[#This Row],[readiness_entry_id]]="","",COUNTIFS(tblReadiness[readiness_scorecard_id],tblReadiness[[#This Row],[readiness_scorecard_id]],tblReadiness[required_evidence_complete_flag],FALSE)&gt;0)</f>
        <v/>
      </c>
      <c r="Q21" s="6" t="inlineStr">
        <is>
          <t>0.1.0</t>
        </is>
      </c>
      <c r="R21" s="14">
        <f>IF(tblReadiness[[#This Row],[readiness_entry_id]]="","",IF(AND(ISNUMBER(tblReadiness[[#This Row],[weight]]),ISNUMBER(tblReadiness[[#This Row],[achieved_rate]])),tblReadiness[[#This Row],[weight]]*tblReadiness[[#This Row],[achieved_rate]],""))</f>
        <v/>
      </c>
      <c r="S21" s="14">
        <f>IF(tblReadiness[[#This Row],[readiness_entry_id]]="","",IF(COUNTIF(tblReadiness[readiness_scorecard_id],tblReadiness[[#This Row],[readiness_scorecard_id]])&lt;&gt;ROWS(tblReadinessWeights[category]),"missing_or_extra_category",IF(COUNTIFS(tblReadiness[readiness_scorecard_id],tblReadiness[[#This Row],[readiness_scorecard_id]],tblReadiness[category],tblReadiness[[#This Row],[category]])&lt;&gt;1,"duplicate_category",IF(COUNTIF(tblReadinessWeights[category],tblReadiness[[#This Row],[category]])=0,"unknown_category","complete"))))</f>
        <v/>
      </c>
    </row>
    <row r="22">
      <c r="A22" s="6" t="inlineStr">
        <is>
          <t>RDE-000018</t>
        </is>
      </c>
      <c r="B22" s="6" t="inlineStr">
        <is>
          <t>RDS-000003</t>
        </is>
      </c>
      <c r="C22" s="6" t="inlineStr">
        <is>
          <t>PRJ-000003</t>
        </is>
      </c>
      <c r="D22" s="6" t="inlineStr">
        <is>
          <t>launch_review</t>
        </is>
      </c>
      <c r="E22" s="6" t="inlineStr">
        <is>
          <t>2026-10-02T15:00:00Z</t>
        </is>
      </c>
      <c r="F22" s="6" t="inlineStr">
        <is>
          <t>1.0.0</t>
        </is>
      </c>
      <c r="G22" s="6" t="inlineStr">
        <is>
          <t>support</t>
        </is>
      </c>
      <c r="H22" s="14">
        <f>IF(tblReadiness[[#This Row],[readiness_entry_id]]="","",IFERROR(INDEX(tblReadinessWeights[weight],MATCH(tblReadiness[[#This Row],[category]],tblReadinessWeights[category],0)),"unknown_category"))</f>
        <v/>
      </c>
      <c r="I22" s="7" t="n">
        <v>4</v>
      </c>
      <c r="J22" s="7" t="n">
        <v>4</v>
      </c>
      <c r="K22" s="16">
        <f>IF(tblReadiness[[#This Row],[readiness_entry_id]]="","",IF(AND(ISNUMBER(tblReadiness[[#This Row],[criteria_total_count]]),ISNUMBER(tblReadiness[[#This Row],[criteria_met_count]])),IF(AND(tblReadiness[[#This Row],[criteria_total_count]]&gt;=1,tblReadiness[[#This Row],[criteria_met_count]]&gt;=0,tblReadiness[[#This Row],[criteria_met_count]]&lt;=tblReadiness[[#This Row],[criteria_total_count]]),tblReadiness[[#This Row],[criteria_met_count]]/tblReadiness[[#This Row],[criteria_total_count]],"invalid_criteria_counts"),"invalid_criteria_counts"))</f>
        <v/>
      </c>
      <c r="L22" s="14">
        <f>IF(tblReadiness[[#This Row],[readiness_entry_id]]="","",IF(ISNUMBER(tblReadiness[[#This Row],[weighted_result]]),ROUND(tblReadiness[[#This Row],[weighted_result]],2),""))</f>
        <v/>
      </c>
      <c r="M22" s="7" t="b">
        <v>1</v>
      </c>
      <c r="N22" s="6" t="inlineStr">
        <is>
          <t>TSK-000025;TSK-000027</t>
        </is>
      </c>
      <c r="O22" s="14">
        <f>IF(tblReadiness[[#This Row],[readiness_entry_id]]="","",IF(COUNTIFS(tblReadiness[readiness_scorecard_id],tblReadiness[[#This Row],[readiness_scorecard_id]],tblReadiness[category_count_check],"complete")&lt;&gt;ROWS(tblReadinessWeights[category]),"incomplete_scorecard",IFERROR(ROUND(100*SUMIFS(tblReadiness[weighted_result],tblReadiness[readiness_scorecard_id],tblReadiness[[#This Row],[readiness_scorecard_id]])/SUMIFS(tblReadiness[weight],tblReadiness[readiness_scorecard_id],tblReadiness[[#This Row],[readiness_scorecard_id]]),2),"incomplete_scorecard")))</f>
        <v/>
      </c>
      <c r="P22" s="14">
        <f>IF(tblReadiness[[#This Row],[readiness_entry_id]]="","",COUNTIFS(tblReadiness[readiness_scorecard_id],tblReadiness[[#This Row],[readiness_scorecard_id]],tblReadiness[required_evidence_complete_flag],FALSE)&gt;0)</f>
        <v/>
      </c>
      <c r="Q22" s="6" t="inlineStr">
        <is>
          <t>0.1.0</t>
        </is>
      </c>
      <c r="R22" s="14">
        <f>IF(tblReadiness[[#This Row],[readiness_entry_id]]="","",IF(AND(ISNUMBER(tblReadiness[[#This Row],[weight]]),ISNUMBER(tblReadiness[[#This Row],[achieved_rate]])),tblReadiness[[#This Row],[weight]]*tblReadiness[[#This Row],[achieved_rate]],""))</f>
        <v/>
      </c>
      <c r="S22" s="14">
        <f>IF(tblReadiness[[#This Row],[readiness_entry_id]]="","",IF(COUNTIF(tblReadiness[readiness_scorecard_id],tblReadiness[[#This Row],[readiness_scorecard_id]])&lt;&gt;ROWS(tblReadinessWeights[category]),"missing_or_extra_category",IF(COUNTIFS(tblReadiness[readiness_scorecard_id],tblReadiness[[#This Row],[readiness_scorecard_id]],tblReadiness[category],tblReadiness[[#This Row],[category]])&lt;&gt;1,"duplicate_category",IF(COUNTIF(tblReadinessWeights[category],tblReadiness[[#This Row],[category]])=0,"unknown_category","complete"))))</f>
        <v/>
      </c>
    </row>
  </sheetData>
  <conditionalFormatting sqref="S5:S1005">
    <cfRule type="expression" priority="1" dxfId="0">
      <formula>AND($S5&lt;&gt;"",$S5&lt;&gt;"complete",$S5&lt;&gt;"no_predecessor",$S5&lt;&gt;"event_only_record")</formula>
    </cfRule>
  </conditionalFormatting>
  <conditionalFormatting sqref="AA5:AA1005">
    <cfRule type="expression" priority="2" dxfId="1">
      <formula>LEFT($AA5,28)="Required evidence incomplete"</formula>
    </cfRule>
  </conditionalFormatting>
  <conditionalFormatting sqref="AB5:AB1005">
    <cfRule type="expression" priority="3" dxfId="1">
      <formula>LEFT($AB5,7)="missing"</formula>
    </cfRule>
  </conditionalFormatting>
  <dataValidations count="2">
    <dataValidation sqref="D5:D1005" showDropDown="0" showInputMessage="0" showErrorMessage="1" allowBlank="1" errorTitle="Value not in R1 list" error="Choose a value from the R1 assessment_purpose list (Lookups tab)." type="list" errorStyle="stop">
      <formula1>=lst_assessment_purpose</formula1>
    </dataValidation>
    <dataValidation sqref="G5:G1005" showDropDown="0" showInputMessage="0" showErrorMessage="1" allowBlank="1" errorTitle="Value not in R1 list" error="Choose a value from the R1 readiness_category list (Lookups tab)." type="list" errorStyle="stop">
      <formula1>=lst_readiness_category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39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2" customWidth="1" min="3" max="3"/>
    <col width="12" customWidth="1" min="4" max="4"/>
    <col width="14" customWidth="1" min="5" max="5"/>
    <col width="12" customWidth="1" min="6" max="6"/>
    <col width="14" customWidth="1" min="7" max="7"/>
    <col width="14" customWidth="1" min="8" max="8"/>
    <col width="9" customWidth="1" min="9" max="9"/>
    <col width="9" customWidth="1" min="10" max="10"/>
    <col width="7" customWidth="1" min="11" max="11"/>
    <col width="30" customWidth="1" min="12" max="12"/>
    <col width="28" customWidth="1" min="13" max="13"/>
    <col width="10" customWidth="1" min="14" max="14"/>
    <col width="16" customWidth="1" min="15" max="15"/>
    <col width="10" customWidth="1" min="16" max="16"/>
    <col width="10" customWidth="1" min="17" max="17"/>
    <col width="10" customWidth="1" min="18" max="18"/>
    <col width="10" customWidth="1" min="19" max="19"/>
    <col width="36" customWidth="1" min="21" max="21"/>
    <col width="12" customWidth="1" min="22" max="22"/>
    <col width="60" customWidth="1" min="23" max="23"/>
  </cols>
  <sheetData>
    <row r="1">
      <c r="A1" s="1" t="inlineStr">
        <is>
          <t>Capacity Inputs</t>
        </is>
      </c>
    </row>
    <row r="2">
      <c r="A2" s="9" t="inlineStr">
        <is>
          <t>Prepares workload hours for future capacity planning. It does not calculate capacity, utilization, staffing need, hiring timing, or capacity gap.</t>
        </is>
      </c>
    </row>
    <row r="3">
      <c r="A3" s="3" t="inlineStr">
        <is>
          <t>Capacity inputs (R3 export for future R2; no capacity math here)</t>
        </is>
      </c>
      <c r="U3" s="3" t="inlineStr">
        <is>
          <t>Capacity input checks (R3 view; not capacity, utilization, or staffing)</t>
        </is>
      </c>
    </row>
    <row r="4">
      <c r="A4" s="5" t="inlineStr">
        <is>
          <t>capacity_input_id</t>
        </is>
      </c>
      <c r="B4" s="13" t="inlineStr">
        <is>
          <t>period</t>
        </is>
      </c>
      <c r="C4" s="13" t="inlineStr">
        <is>
          <t>project_id</t>
        </is>
      </c>
      <c r="D4" s="5" t="inlineStr">
        <is>
          <t>source_entity_type</t>
        </is>
      </c>
      <c r="E4" s="5" t="inlineStr">
        <is>
          <t>source_entity_id</t>
        </is>
      </c>
      <c r="F4" s="13" t="inlineStr">
        <is>
          <t>role_id</t>
        </is>
      </c>
      <c r="G4" s="5" t="inlineStr">
        <is>
          <t>workload_component_id</t>
        </is>
      </c>
      <c r="H4" s="5" t="inlineStr">
        <is>
          <t>workload_type</t>
        </is>
      </c>
      <c r="I4" s="13" t="inlineStr">
        <is>
          <t>planned_hours</t>
        </is>
      </c>
      <c r="J4" s="13" t="inlineStr">
        <is>
          <t>actual_hours</t>
        </is>
      </c>
      <c r="K4" s="5" t="inlineStr">
        <is>
          <t>unit</t>
        </is>
      </c>
      <c r="L4" s="5" t="inlineStr">
        <is>
          <t>capacity_inclusion_method</t>
        </is>
      </c>
      <c r="M4" s="5" t="inlineStr">
        <is>
          <t>source_repo</t>
        </is>
      </c>
      <c r="N4" s="5" t="inlineStr">
        <is>
          <t>source_version</t>
        </is>
      </c>
      <c r="O4" s="13" t="inlineStr">
        <is>
          <t>org_stage</t>
        </is>
      </c>
      <c r="P4" s="13" t="inlineStr">
        <is>
          <t>export_ready_flag</t>
        </is>
      </c>
      <c r="Q4" s="13" t="inlineStr">
        <is>
          <t>duplicate_authoritative_flag</t>
        </is>
      </c>
      <c r="R4" s="13" t="inlineStr">
        <is>
          <t>authoritative_planned_hours</t>
        </is>
      </c>
      <c r="S4" s="13" t="inlineStr">
        <is>
          <t>authoritative_actual_hours</t>
        </is>
      </c>
      <c r="U4" s="5" t="inlineStr">
        <is>
          <t>check_key</t>
        </is>
      </c>
      <c r="V4" s="13" t="inlineStr">
        <is>
          <t>value</t>
        </is>
      </c>
      <c r="W4" s="5" t="inlineStr">
        <is>
          <t>meaning</t>
        </is>
      </c>
    </row>
    <row r="5">
      <c r="A5" s="7" t="inlineStr">
        <is>
          <t>CPI-000001</t>
        </is>
      </c>
      <c r="B5" s="14">
        <f>IF(tblCapacityInputs[[#This Row],[capacity_input_id]]="","",IFERROR(IF(LEFT(tblCapacityInputs[[#This Row],[workload_component_id]],3)="TSK",LEFT(INDEX(tblTasks[planned_due_date],MATCH(tblCapacityInputs[[#This Row],[workload_component_id]],tblTasks[task_id],0))&amp;"",7),LEFT(INDEX(tblPhases[entered_at],MATCH(tblCapacityInputs[[#This Row],[workload_component_id]],tblPhases[phase_id],0))&amp;"",7)),""))</f>
        <v/>
      </c>
      <c r="C5" s="14">
        <f>IF(tblCapacityInputs[[#This Row],[capacity_input_id]]="","",IFERROR(IF(tblCapacityInputs[[#This Row],[source_entity_type]]="task",INDEX(tblTasks[project_id],MATCH(tblCapacityInputs[[#This Row],[source_entity_id]],tblTasks[task_id],0)),IF(tblCapacityInputs[[#This Row],[source_entity_type]]="request",INDEX(tblRequests[project_id],MATCH(tblCapacityInputs[[#This Row],[source_entity_id]],tblRequests[request_id],0)),IF(tblCapacityInputs[[#This Row],[source_entity_type]]="handoff",INDEX(tblHandoffs[project_id],MATCH(tblCapacityInputs[[#This Row],[source_entity_id]],tblHandoffs[handoff_id],0)),IF(tblCapacityInputs[[#This Row],[source_entity_type]]="phase",INDEX(tblPhases[project_id],MATCH(tblCapacityInputs[[#This Row],[source_entity_id]],tblPhases[phase_id],0)),"source_not_found"))))&amp;"","source_not_found"))</f>
        <v/>
      </c>
      <c r="D5" s="7" t="inlineStr">
        <is>
          <t>task</t>
        </is>
      </c>
      <c r="E5" s="7" t="inlineStr">
        <is>
          <t>TSK-000001</t>
        </is>
      </c>
      <c r="F5" s="14">
        <f>IF(tblCapacityInputs[[#This Row],[capacity_input_id]]="","",IFERROR(IF(tblCapacityInputs[[#This Row],[source_entity_type]]="task",INDEX(tblTasks[owner_role_id],MATCH(tblCapacityInputs[[#This Row],[source_entity_id]],tblTasks[task_id],0)),IF(tblCapacityInputs[[#This Row],[source_entity_type]]="request",INDEX(tblRequests[owner_role_id],MATCH(tblCapacityInputs[[#This Row],[source_entity_id]],tblRequests[request_id],0)),IF(tblCapacityInputs[[#This Row],[source_entity_type]]="handoff",INDEX(tblHandoffs[to_role_id],MATCH(tblCapacityInputs[[#This Row],[source_entity_id]],tblHandoffs[handoff_id],0)),IF(tblCapacityInputs[[#This Row],[source_entity_type]]="phase",INDEX(tblPhases[owner_role_id],MATCH(tblCapacityInputs[[#This Row],[source_entity_id]],tblPhases[phase_id],0)),"source_not_found"))))&amp;"","source_not_found"))</f>
        <v/>
      </c>
      <c r="G5" s="7" t="inlineStr">
        <is>
          <t>TSK-000001</t>
        </is>
      </c>
      <c r="H5" s="7" t="inlineStr">
        <is>
          <t>task_effort</t>
        </is>
      </c>
      <c r="I5" s="14">
        <f>IF(tblCapacityInputs[[#This Row],[capacity_input_id]]="","",IFERROR(IF(LEFT(tblCapacityInputs[[#This Row],[workload_component_id]],3)="TSK",INDEX(tblTasks[planned_hours],MATCH(tblCapacityInputs[[#This Row],[workload_component_id]],tblTasks[task_id],0))*1,IF(LEFT(tblCapacityInputs[[#This Row],[workload_component_id]],3)="PHS",SUMIFS(tblTasks[planned_hours],tblTasks[phase_id],tblCapacityInputs[[#This Row],[workload_component_id]]),"component_not_found")),"component_not_found"))</f>
        <v/>
      </c>
      <c r="J5" s="14">
        <f>IF(tblCapacityInputs[[#This Row],[capacity_input_id]]="","",IFERROR(IF(LEFT(tblCapacityInputs[[#This Row],[workload_component_id]],3)="TSK",INDEX(tblTasks[actual_hours],MATCH(tblCapacityInputs[[#This Row],[workload_component_id]],tblTasks[task_id],0))*1,IF(LEFT(tblCapacityInputs[[#This Row],[workload_component_id]],3)="PHS",SUMIFS(tblTasks[actual_hours],tblTasks[phase_id],tblCapacityInputs[[#This Row],[workload_component_id]]),"component_not_found")),"component_not_found"))</f>
        <v/>
      </c>
      <c r="K5" s="7" t="inlineStr">
        <is>
          <t>hours</t>
        </is>
      </c>
      <c r="L5" s="7" t="inlineStr">
        <is>
          <t>authoritative_workload</t>
        </is>
      </c>
      <c r="M5" s="7" t="inlineStr">
        <is>
          <t>implementation-operating-system</t>
        </is>
      </c>
      <c r="N5" s="6" t="inlineStr">
        <is>
          <t>9acd25a</t>
        </is>
      </c>
      <c r="O5" s="14">
        <f>IF(tblCapacityInputs[[#This Row],[capacity_input_id]]="","",IFERROR(INDEX(tblProjects[org_stage],MATCH(tblCapacityInputs[[#This Row],[project_id]],tblProjects[project_id],0))&amp;"",""))</f>
        <v/>
      </c>
      <c r="P5" s="14">
        <f>IF(tblCapacityInputs[[#This Row],[capacity_input_id]]="","",AND(NOT(tblCapacityInputs[[#This Row],[duplicate_authoritative_flag]]),ISNUMBER(tblCapacityInputs[[#This Row],[planned_hours]]),ISNUMBER(tblCapacityInputs[[#This Row],[actual_hours]]),tblCapacityInputs[[#This Row],[unit]]="hours",tblCapacityInputs[[#This Row],[project_id]]&lt;&gt;"source_not_found",COUNTIFS(tblLookupEntries[lookup_type],"capacity_inclusion_method",tblLookupEntries[key],tblCapacityInputs[[#This Row],[capacity_inclusion_method]])&gt;0))</f>
        <v/>
      </c>
      <c r="Q5" s="14">
        <f>IF(tblCapacityInputs[[#This Row],[capacity_input_id]]="","",AND(tblCapacityInputs[[#This Row],[capacity_inclusion_method]]="authoritative_workload",COUNTIFS(tblCapacityInputs[workload_component_id],tblCapacityInputs[[#This Row],[workload_component_id]],tblCapacityInputs[capacity_inclusion_method],"authoritative_workload")&gt;1))</f>
        <v/>
      </c>
      <c r="R5" s="14">
        <f>IF(tblCapacityInputs[[#This Row],[capacity_input_id]]="","",IF(AND(tblCapacityInputs[[#This Row],[capacity_inclusion_method]]="authoritative_workload",NOT(tblCapacityInputs[[#This Row],[duplicate_authoritative_flag]]),ISNUMBER(tblCapacityInputs[[#This Row],[planned_hours]])),tblCapacityInputs[[#This Row],[planned_hours]],0))</f>
        <v/>
      </c>
      <c r="S5" s="14">
        <f>IF(tblCapacityInputs[[#This Row],[capacity_input_id]]="","",IF(AND(tblCapacityInputs[[#This Row],[capacity_inclusion_method]]="authoritative_workload",NOT(tblCapacityInputs[[#This Row],[duplicate_authoritative_flag]]),ISNUMBER(tblCapacityInputs[[#This Row],[actual_hours]])),tblCapacityInputs[[#This Row],[actual_hours]],0))</f>
        <v/>
      </c>
      <c r="U5" s="7" t="inlineStr">
        <is>
          <t>authoritative_planned_hours_total</t>
        </is>
      </c>
      <c r="V5" s="14">
        <f>SUM(tblCapacityInputs[authoritative_planned_hours])</f>
        <v/>
      </c>
      <c r="W5" s="7" t="inlineStr">
        <is>
          <t>Planned hours counted once, from authoritative rows only.</t>
        </is>
      </c>
    </row>
    <row r="6">
      <c r="A6" s="7" t="inlineStr">
        <is>
          <t>CPI-000002</t>
        </is>
      </c>
      <c r="B6" s="14">
        <f>IF(tblCapacityInputs[[#This Row],[capacity_input_id]]="","",IFERROR(IF(LEFT(tblCapacityInputs[[#This Row],[workload_component_id]],3)="TSK",LEFT(INDEX(tblTasks[planned_due_date],MATCH(tblCapacityInputs[[#This Row],[workload_component_id]],tblTasks[task_id],0))&amp;"",7),LEFT(INDEX(tblPhases[entered_at],MATCH(tblCapacityInputs[[#This Row],[workload_component_id]],tblPhases[phase_id],0))&amp;"",7)),""))</f>
        <v/>
      </c>
      <c r="C6" s="14">
        <f>IF(tblCapacityInputs[[#This Row],[capacity_input_id]]="","",IFERROR(IF(tblCapacityInputs[[#This Row],[source_entity_type]]="task",INDEX(tblTasks[project_id],MATCH(tblCapacityInputs[[#This Row],[source_entity_id]],tblTasks[task_id],0)),IF(tblCapacityInputs[[#This Row],[source_entity_type]]="request",INDEX(tblRequests[project_id],MATCH(tblCapacityInputs[[#This Row],[source_entity_id]],tblRequests[request_id],0)),IF(tblCapacityInputs[[#This Row],[source_entity_type]]="handoff",INDEX(tblHandoffs[project_id],MATCH(tblCapacityInputs[[#This Row],[source_entity_id]],tblHandoffs[handoff_id],0)),IF(tblCapacityInputs[[#This Row],[source_entity_type]]="phase",INDEX(tblPhases[project_id],MATCH(tblCapacityInputs[[#This Row],[source_entity_id]],tblPhases[phase_id],0)),"source_not_found"))))&amp;"","source_not_found"))</f>
        <v/>
      </c>
      <c r="D6" s="7" t="inlineStr">
        <is>
          <t>task</t>
        </is>
      </c>
      <c r="E6" s="7" t="inlineStr">
        <is>
          <t>TSK-000002</t>
        </is>
      </c>
      <c r="F6" s="14">
        <f>IF(tblCapacityInputs[[#This Row],[capacity_input_id]]="","",IFERROR(IF(tblCapacityInputs[[#This Row],[source_entity_type]]="task",INDEX(tblTasks[owner_role_id],MATCH(tblCapacityInputs[[#This Row],[source_entity_id]],tblTasks[task_id],0)),IF(tblCapacityInputs[[#This Row],[source_entity_type]]="request",INDEX(tblRequests[owner_role_id],MATCH(tblCapacityInputs[[#This Row],[source_entity_id]],tblRequests[request_id],0)),IF(tblCapacityInputs[[#This Row],[source_entity_type]]="handoff",INDEX(tblHandoffs[to_role_id],MATCH(tblCapacityInputs[[#This Row],[source_entity_id]],tblHandoffs[handoff_id],0)),IF(tblCapacityInputs[[#This Row],[source_entity_type]]="phase",INDEX(tblPhases[owner_role_id],MATCH(tblCapacityInputs[[#This Row],[source_entity_id]],tblPhases[phase_id],0)),"source_not_found"))))&amp;"","source_not_found"))</f>
        <v/>
      </c>
      <c r="G6" s="7" t="inlineStr">
        <is>
          <t>TSK-000002</t>
        </is>
      </c>
      <c r="H6" s="7" t="inlineStr">
        <is>
          <t>task_effort</t>
        </is>
      </c>
      <c r="I6" s="14">
        <f>IF(tblCapacityInputs[[#This Row],[capacity_input_id]]="","",IFERROR(IF(LEFT(tblCapacityInputs[[#This Row],[workload_component_id]],3)="TSK",INDEX(tblTasks[planned_hours],MATCH(tblCapacityInputs[[#This Row],[workload_component_id]],tblTasks[task_id],0))*1,IF(LEFT(tblCapacityInputs[[#This Row],[workload_component_id]],3)="PHS",SUMIFS(tblTasks[planned_hours],tblTasks[phase_id],tblCapacityInputs[[#This Row],[workload_component_id]]),"component_not_found")),"component_not_found"))</f>
        <v/>
      </c>
      <c r="J6" s="14">
        <f>IF(tblCapacityInputs[[#This Row],[capacity_input_id]]="","",IFERROR(IF(LEFT(tblCapacityInputs[[#This Row],[workload_component_id]],3)="TSK",INDEX(tblTasks[actual_hours],MATCH(tblCapacityInputs[[#This Row],[workload_component_id]],tblTasks[task_id],0))*1,IF(LEFT(tblCapacityInputs[[#This Row],[workload_component_id]],3)="PHS",SUMIFS(tblTasks[actual_hours],tblTasks[phase_id],tblCapacityInputs[[#This Row],[workload_component_id]]),"component_not_found")),"component_not_found"))</f>
        <v/>
      </c>
      <c r="K6" s="7" t="inlineStr">
        <is>
          <t>hours</t>
        </is>
      </c>
      <c r="L6" s="7" t="inlineStr">
        <is>
          <t>authoritative_workload</t>
        </is>
      </c>
      <c r="M6" s="7" t="inlineStr">
        <is>
          <t>implementation-operating-system</t>
        </is>
      </c>
      <c r="N6" s="6" t="inlineStr">
        <is>
          <t>9acd25a</t>
        </is>
      </c>
      <c r="O6" s="14">
        <f>IF(tblCapacityInputs[[#This Row],[capacity_input_id]]="","",IFERROR(INDEX(tblProjects[org_stage],MATCH(tblCapacityInputs[[#This Row],[project_id]],tblProjects[project_id],0))&amp;"",""))</f>
        <v/>
      </c>
      <c r="P6" s="14">
        <f>IF(tblCapacityInputs[[#This Row],[capacity_input_id]]="","",AND(NOT(tblCapacityInputs[[#This Row],[duplicate_authoritative_flag]]),ISNUMBER(tblCapacityInputs[[#This Row],[planned_hours]]),ISNUMBER(tblCapacityInputs[[#This Row],[actual_hours]]),tblCapacityInputs[[#This Row],[unit]]="hours",tblCapacityInputs[[#This Row],[project_id]]&lt;&gt;"source_not_found",COUNTIFS(tblLookupEntries[lookup_type],"capacity_inclusion_method",tblLookupEntries[key],tblCapacityInputs[[#This Row],[capacity_inclusion_method]])&gt;0))</f>
        <v/>
      </c>
      <c r="Q6" s="14">
        <f>IF(tblCapacityInputs[[#This Row],[capacity_input_id]]="","",AND(tblCapacityInputs[[#This Row],[capacity_inclusion_method]]="authoritative_workload",COUNTIFS(tblCapacityInputs[workload_component_id],tblCapacityInputs[[#This Row],[workload_component_id]],tblCapacityInputs[capacity_inclusion_method],"authoritative_workload")&gt;1))</f>
        <v/>
      </c>
      <c r="R6" s="14">
        <f>IF(tblCapacityInputs[[#This Row],[capacity_input_id]]="","",IF(AND(tblCapacityInputs[[#This Row],[capacity_inclusion_method]]="authoritative_workload",NOT(tblCapacityInputs[[#This Row],[duplicate_authoritative_flag]]),ISNUMBER(tblCapacityInputs[[#This Row],[planned_hours]])),tblCapacityInputs[[#This Row],[planned_hours]],0))</f>
        <v/>
      </c>
      <c r="S6" s="14">
        <f>IF(tblCapacityInputs[[#This Row],[capacity_input_id]]="","",IF(AND(tblCapacityInputs[[#This Row],[capacity_inclusion_method]]="authoritative_workload",NOT(tblCapacityInputs[[#This Row],[duplicate_authoritative_flag]]),ISNUMBER(tblCapacityInputs[[#This Row],[actual_hours]])),tblCapacityInputs[[#This Row],[actual_hours]],0))</f>
        <v/>
      </c>
      <c r="U6" s="7" t="inlineStr">
        <is>
          <t>authoritative_actual_hours_total</t>
        </is>
      </c>
      <c r="V6" s="14">
        <f>SUM(tblCapacityInputs[authoritative_actual_hours])</f>
        <v/>
      </c>
      <c r="W6" s="7" t="inlineStr">
        <is>
          <t>Actual hours counted once, from authoritative rows only.</t>
        </is>
      </c>
    </row>
    <row r="7">
      <c r="A7" s="7" t="inlineStr">
        <is>
          <t>CPI-000003</t>
        </is>
      </c>
      <c r="B7" s="14">
        <f>IF(tblCapacityInputs[[#This Row],[capacity_input_id]]="","",IFERROR(IF(LEFT(tblCapacityInputs[[#This Row],[workload_component_id]],3)="TSK",LEFT(INDEX(tblTasks[planned_due_date],MATCH(tblCapacityInputs[[#This Row],[workload_component_id]],tblTasks[task_id],0))&amp;"",7),LEFT(INDEX(tblPhases[entered_at],MATCH(tblCapacityInputs[[#This Row],[workload_component_id]],tblPhases[phase_id],0))&amp;"",7)),""))</f>
        <v/>
      </c>
      <c r="C7" s="14">
        <f>IF(tblCapacityInputs[[#This Row],[capacity_input_id]]="","",IFERROR(IF(tblCapacityInputs[[#This Row],[source_entity_type]]="task",INDEX(tblTasks[project_id],MATCH(tblCapacityInputs[[#This Row],[source_entity_id]],tblTasks[task_id],0)),IF(tblCapacityInputs[[#This Row],[source_entity_type]]="request",INDEX(tblRequests[project_id],MATCH(tblCapacityInputs[[#This Row],[source_entity_id]],tblRequests[request_id],0)),IF(tblCapacityInputs[[#This Row],[source_entity_type]]="handoff",INDEX(tblHandoffs[project_id],MATCH(tblCapacityInputs[[#This Row],[source_entity_id]],tblHandoffs[handoff_id],0)),IF(tblCapacityInputs[[#This Row],[source_entity_type]]="phase",INDEX(tblPhases[project_id],MATCH(tblCapacityInputs[[#This Row],[source_entity_id]],tblPhases[phase_id],0)),"source_not_found"))))&amp;"","source_not_found"))</f>
        <v/>
      </c>
      <c r="D7" s="7" t="inlineStr">
        <is>
          <t>task</t>
        </is>
      </c>
      <c r="E7" s="7" t="inlineStr">
        <is>
          <t>TSK-000003</t>
        </is>
      </c>
      <c r="F7" s="14">
        <f>IF(tblCapacityInputs[[#This Row],[capacity_input_id]]="","",IFERROR(IF(tblCapacityInputs[[#This Row],[source_entity_type]]="task",INDEX(tblTasks[owner_role_id],MATCH(tblCapacityInputs[[#This Row],[source_entity_id]],tblTasks[task_id],0)),IF(tblCapacityInputs[[#This Row],[source_entity_type]]="request",INDEX(tblRequests[owner_role_id],MATCH(tblCapacityInputs[[#This Row],[source_entity_id]],tblRequests[request_id],0)),IF(tblCapacityInputs[[#This Row],[source_entity_type]]="handoff",INDEX(tblHandoffs[to_role_id],MATCH(tblCapacityInputs[[#This Row],[source_entity_id]],tblHandoffs[handoff_id],0)),IF(tblCapacityInputs[[#This Row],[source_entity_type]]="phase",INDEX(tblPhases[owner_role_id],MATCH(tblCapacityInputs[[#This Row],[source_entity_id]],tblPhases[phase_id],0)),"source_not_found"))))&amp;"","source_not_found"))</f>
        <v/>
      </c>
      <c r="G7" s="7" t="inlineStr">
        <is>
          <t>TSK-000003</t>
        </is>
      </c>
      <c r="H7" s="7" t="inlineStr">
        <is>
          <t>task_effort</t>
        </is>
      </c>
      <c r="I7" s="14">
        <f>IF(tblCapacityInputs[[#This Row],[capacity_input_id]]="","",IFERROR(IF(LEFT(tblCapacityInputs[[#This Row],[workload_component_id]],3)="TSK",INDEX(tblTasks[planned_hours],MATCH(tblCapacityInputs[[#This Row],[workload_component_id]],tblTasks[task_id],0))*1,IF(LEFT(tblCapacityInputs[[#This Row],[workload_component_id]],3)="PHS",SUMIFS(tblTasks[planned_hours],tblTasks[phase_id],tblCapacityInputs[[#This Row],[workload_component_id]]),"component_not_found")),"component_not_found"))</f>
        <v/>
      </c>
      <c r="J7" s="14">
        <f>IF(tblCapacityInputs[[#This Row],[capacity_input_id]]="","",IFERROR(IF(LEFT(tblCapacityInputs[[#This Row],[workload_component_id]],3)="TSK",INDEX(tblTasks[actual_hours],MATCH(tblCapacityInputs[[#This Row],[workload_component_id]],tblTasks[task_id],0))*1,IF(LEFT(tblCapacityInputs[[#This Row],[workload_component_id]],3)="PHS",SUMIFS(tblTasks[actual_hours],tblTasks[phase_id],tblCapacityInputs[[#This Row],[workload_component_id]]),"component_not_found")),"component_not_found"))</f>
        <v/>
      </c>
      <c r="K7" s="7" t="inlineStr">
        <is>
          <t>hours</t>
        </is>
      </c>
      <c r="L7" s="7" t="inlineStr">
        <is>
          <t>authoritative_workload</t>
        </is>
      </c>
      <c r="M7" s="7" t="inlineStr">
        <is>
          <t>implementation-operating-system</t>
        </is>
      </c>
      <c r="N7" s="6" t="inlineStr">
        <is>
          <t>9acd25a</t>
        </is>
      </c>
      <c r="O7" s="14">
        <f>IF(tblCapacityInputs[[#This Row],[capacity_input_id]]="","",IFERROR(INDEX(tblProjects[org_stage],MATCH(tblCapacityInputs[[#This Row],[project_id]],tblProjects[project_id],0))&amp;"",""))</f>
        <v/>
      </c>
      <c r="P7" s="14">
        <f>IF(tblCapacityInputs[[#This Row],[capacity_input_id]]="","",AND(NOT(tblCapacityInputs[[#This Row],[duplicate_authoritative_flag]]),ISNUMBER(tblCapacityInputs[[#This Row],[planned_hours]]),ISNUMBER(tblCapacityInputs[[#This Row],[actual_hours]]),tblCapacityInputs[[#This Row],[unit]]="hours",tblCapacityInputs[[#This Row],[project_id]]&lt;&gt;"source_not_found",COUNTIFS(tblLookupEntries[lookup_type],"capacity_inclusion_method",tblLookupEntries[key],tblCapacityInputs[[#This Row],[capacity_inclusion_method]])&gt;0))</f>
        <v/>
      </c>
      <c r="Q7" s="14">
        <f>IF(tblCapacityInputs[[#This Row],[capacity_input_id]]="","",AND(tblCapacityInputs[[#This Row],[capacity_inclusion_method]]="authoritative_workload",COUNTIFS(tblCapacityInputs[workload_component_id],tblCapacityInputs[[#This Row],[workload_component_id]],tblCapacityInputs[capacity_inclusion_method],"authoritative_workload")&gt;1))</f>
        <v/>
      </c>
      <c r="R7" s="14">
        <f>IF(tblCapacityInputs[[#This Row],[capacity_input_id]]="","",IF(AND(tblCapacityInputs[[#This Row],[capacity_inclusion_method]]="authoritative_workload",NOT(tblCapacityInputs[[#This Row],[duplicate_authoritative_flag]]),ISNUMBER(tblCapacityInputs[[#This Row],[planned_hours]])),tblCapacityInputs[[#This Row],[planned_hours]],0))</f>
        <v/>
      </c>
      <c r="S7" s="14">
        <f>IF(tblCapacityInputs[[#This Row],[capacity_input_id]]="","",IF(AND(tblCapacityInputs[[#This Row],[capacity_inclusion_method]]="authoritative_workload",NOT(tblCapacityInputs[[#This Row],[duplicate_authoritative_flag]]),ISNUMBER(tblCapacityInputs[[#This Row],[actual_hours]])),tblCapacityInputs[[#This Row],[actual_hours]],0))</f>
        <v/>
      </c>
      <c r="U7" s="7" t="inlineStr">
        <is>
          <t>task_planned_hours_total</t>
        </is>
      </c>
      <c r="V7" s="14">
        <f>SUM(tblTasks[planned_hours])</f>
        <v/>
      </c>
      <c r="W7" s="7" t="inlineStr">
        <is>
          <t>Planned hours on the Tasks tab, for reconciliation.</t>
        </is>
      </c>
    </row>
    <row r="8">
      <c r="A8" s="7" t="inlineStr">
        <is>
          <t>CPI-000004</t>
        </is>
      </c>
      <c r="B8" s="14">
        <f>IF(tblCapacityInputs[[#This Row],[capacity_input_id]]="","",IFERROR(IF(LEFT(tblCapacityInputs[[#This Row],[workload_component_id]],3)="TSK",LEFT(INDEX(tblTasks[planned_due_date],MATCH(tblCapacityInputs[[#This Row],[workload_component_id]],tblTasks[task_id],0))&amp;"",7),LEFT(INDEX(tblPhases[entered_at],MATCH(tblCapacityInputs[[#This Row],[workload_component_id]],tblPhases[phase_id],0))&amp;"",7)),""))</f>
        <v/>
      </c>
      <c r="C8" s="14">
        <f>IF(tblCapacityInputs[[#This Row],[capacity_input_id]]="","",IFERROR(IF(tblCapacityInputs[[#This Row],[source_entity_type]]="task",INDEX(tblTasks[project_id],MATCH(tblCapacityInputs[[#This Row],[source_entity_id]],tblTasks[task_id],0)),IF(tblCapacityInputs[[#This Row],[source_entity_type]]="request",INDEX(tblRequests[project_id],MATCH(tblCapacityInputs[[#This Row],[source_entity_id]],tblRequests[request_id],0)),IF(tblCapacityInputs[[#This Row],[source_entity_type]]="handoff",INDEX(tblHandoffs[project_id],MATCH(tblCapacityInputs[[#This Row],[source_entity_id]],tblHandoffs[handoff_id],0)),IF(tblCapacityInputs[[#This Row],[source_entity_type]]="phase",INDEX(tblPhases[project_id],MATCH(tblCapacityInputs[[#This Row],[source_entity_id]],tblPhases[phase_id],0)),"source_not_found"))))&amp;"","source_not_found"))</f>
        <v/>
      </c>
      <c r="D8" s="7" t="inlineStr">
        <is>
          <t>task</t>
        </is>
      </c>
      <c r="E8" s="7" t="inlineStr">
        <is>
          <t>TSK-000004</t>
        </is>
      </c>
      <c r="F8" s="14">
        <f>IF(tblCapacityInputs[[#This Row],[capacity_input_id]]="","",IFERROR(IF(tblCapacityInputs[[#This Row],[source_entity_type]]="task",INDEX(tblTasks[owner_role_id],MATCH(tblCapacityInputs[[#This Row],[source_entity_id]],tblTasks[task_id],0)),IF(tblCapacityInputs[[#This Row],[source_entity_type]]="request",INDEX(tblRequests[owner_role_id],MATCH(tblCapacityInputs[[#This Row],[source_entity_id]],tblRequests[request_id],0)),IF(tblCapacityInputs[[#This Row],[source_entity_type]]="handoff",INDEX(tblHandoffs[to_role_id],MATCH(tblCapacityInputs[[#This Row],[source_entity_id]],tblHandoffs[handoff_id],0)),IF(tblCapacityInputs[[#This Row],[source_entity_type]]="phase",INDEX(tblPhases[owner_role_id],MATCH(tblCapacityInputs[[#This Row],[source_entity_id]],tblPhases[phase_id],0)),"source_not_found"))))&amp;"","source_not_found"))</f>
        <v/>
      </c>
      <c r="G8" s="7" t="inlineStr">
        <is>
          <t>TSK-000004</t>
        </is>
      </c>
      <c r="H8" s="7" t="inlineStr">
        <is>
          <t>task_effort</t>
        </is>
      </c>
      <c r="I8" s="14">
        <f>IF(tblCapacityInputs[[#This Row],[capacity_input_id]]="","",IFERROR(IF(LEFT(tblCapacityInputs[[#This Row],[workload_component_id]],3)="TSK",INDEX(tblTasks[planned_hours],MATCH(tblCapacityInputs[[#This Row],[workload_component_id]],tblTasks[task_id],0))*1,IF(LEFT(tblCapacityInputs[[#This Row],[workload_component_id]],3)="PHS",SUMIFS(tblTasks[planned_hours],tblTasks[phase_id],tblCapacityInputs[[#This Row],[workload_component_id]]),"component_not_found")),"component_not_found"))</f>
        <v/>
      </c>
      <c r="J8" s="14">
        <f>IF(tblCapacityInputs[[#This Row],[capacity_input_id]]="","",IFERROR(IF(LEFT(tblCapacityInputs[[#This Row],[workload_component_id]],3)="TSK",INDEX(tblTasks[actual_hours],MATCH(tblCapacityInputs[[#This Row],[workload_component_id]],tblTasks[task_id],0))*1,IF(LEFT(tblCapacityInputs[[#This Row],[workload_component_id]],3)="PHS",SUMIFS(tblTasks[actual_hours],tblTasks[phase_id],tblCapacityInputs[[#This Row],[workload_component_id]]),"component_not_found")),"component_not_found"))</f>
        <v/>
      </c>
      <c r="K8" s="7" t="inlineStr">
        <is>
          <t>hours</t>
        </is>
      </c>
      <c r="L8" s="7" t="inlineStr">
        <is>
          <t>authoritative_workload</t>
        </is>
      </c>
      <c r="M8" s="7" t="inlineStr">
        <is>
          <t>implementation-operating-system</t>
        </is>
      </c>
      <c r="N8" s="6" t="inlineStr">
        <is>
          <t>9acd25a</t>
        </is>
      </c>
      <c r="O8" s="14">
        <f>IF(tblCapacityInputs[[#This Row],[capacity_input_id]]="","",IFERROR(INDEX(tblProjects[org_stage],MATCH(tblCapacityInputs[[#This Row],[project_id]],tblProjects[project_id],0))&amp;"",""))</f>
        <v/>
      </c>
      <c r="P8" s="14">
        <f>IF(tblCapacityInputs[[#This Row],[capacity_input_id]]="","",AND(NOT(tblCapacityInputs[[#This Row],[duplicate_authoritative_flag]]),ISNUMBER(tblCapacityInputs[[#This Row],[planned_hours]]),ISNUMBER(tblCapacityInputs[[#This Row],[actual_hours]]),tblCapacityInputs[[#This Row],[unit]]="hours",tblCapacityInputs[[#This Row],[project_id]]&lt;&gt;"source_not_found",COUNTIFS(tblLookupEntries[lookup_type],"capacity_inclusion_method",tblLookupEntries[key],tblCapacityInputs[[#This Row],[capacity_inclusion_method]])&gt;0))</f>
        <v/>
      </c>
      <c r="Q8" s="14">
        <f>IF(tblCapacityInputs[[#This Row],[capacity_input_id]]="","",AND(tblCapacityInputs[[#This Row],[capacity_inclusion_method]]="authoritative_workload",COUNTIFS(tblCapacityInputs[workload_component_id],tblCapacityInputs[[#This Row],[workload_component_id]],tblCapacityInputs[capacity_inclusion_method],"authoritative_workload")&gt;1))</f>
        <v/>
      </c>
      <c r="R8" s="14">
        <f>IF(tblCapacityInputs[[#This Row],[capacity_input_id]]="","",IF(AND(tblCapacityInputs[[#This Row],[capacity_inclusion_method]]="authoritative_workload",NOT(tblCapacityInputs[[#This Row],[duplicate_authoritative_flag]]),ISNUMBER(tblCapacityInputs[[#This Row],[planned_hours]])),tblCapacityInputs[[#This Row],[planned_hours]],0))</f>
        <v/>
      </c>
      <c r="S8" s="14">
        <f>IF(tblCapacityInputs[[#This Row],[capacity_input_id]]="","",IF(AND(tblCapacityInputs[[#This Row],[capacity_inclusion_method]]="authoritative_workload",NOT(tblCapacityInputs[[#This Row],[duplicate_authoritative_flag]]),ISNUMBER(tblCapacityInputs[[#This Row],[actual_hours]])),tblCapacityInputs[[#This Row],[actual_hours]],0))</f>
        <v/>
      </c>
      <c r="U8" s="7" t="inlineStr">
        <is>
          <t>task_actual_hours_total</t>
        </is>
      </c>
      <c r="V8" s="14">
        <f>SUM(tblTasks[actual_hours])</f>
        <v/>
      </c>
      <c r="W8" s="7" t="inlineStr">
        <is>
          <t>Actual hours on the Tasks tab, for reconciliation.</t>
        </is>
      </c>
    </row>
    <row r="9">
      <c r="A9" s="7" t="inlineStr">
        <is>
          <t>CPI-000005</t>
        </is>
      </c>
      <c r="B9" s="14">
        <f>IF(tblCapacityInputs[[#This Row],[capacity_input_id]]="","",IFERROR(IF(LEFT(tblCapacityInputs[[#This Row],[workload_component_id]],3)="TSK",LEFT(INDEX(tblTasks[planned_due_date],MATCH(tblCapacityInputs[[#This Row],[workload_component_id]],tblTasks[task_id],0))&amp;"",7),LEFT(INDEX(tblPhases[entered_at],MATCH(tblCapacityInputs[[#This Row],[workload_component_id]],tblPhases[phase_id],0))&amp;"",7)),""))</f>
        <v/>
      </c>
      <c r="C9" s="14">
        <f>IF(tblCapacityInputs[[#This Row],[capacity_input_id]]="","",IFERROR(IF(tblCapacityInputs[[#This Row],[source_entity_type]]="task",INDEX(tblTasks[project_id],MATCH(tblCapacityInputs[[#This Row],[source_entity_id]],tblTasks[task_id],0)),IF(tblCapacityInputs[[#This Row],[source_entity_type]]="request",INDEX(tblRequests[project_id],MATCH(tblCapacityInputs[[#This Row],[source_entity_id]],tblRequests[request_id],0)),IF(tblCapacityInputs[[#This Row],[source_entity_type]]="handoff",INDEX(tblHandoffs[project_id],MATCH(tblCapacityInputs[[#This Row],[source_entity_id]],tblHandoffs[handoff_id],0)),IF(tblCapacityInputs[[#This Row],[source_entity_type]]="phase",INDEX(tblPhases[project_id],MATCH(tblCapacityInputs[[#This Row],[source_entity_id]],tblPhases[phase_id],0)),"source_not_found"))))&amp;"","source_not_found"))</f>
        <v/>
      </c>
      <c r="D9" s="7" t="inlineStr">
        <is>
          <t>task</t>
        </is>
      </c>
      <c r="E9" s="7" t="inlineStr">
        <is>
          <t>TSK-000005</t>
        </is>
      </c>
      <c r="F9" s="14">
        <f>IF(tblCapacityInputs[[#This Row],[capacity_input_id]]="","",IFERROR(IF(tblCapacityInputs[[#This Row],[source_entity_type]]="task",INDEX(tblTasks[owner_role_id],MATCH(tblCapacityInputs[[#This Row],[source_entity_id]],tblTasks[task_id],0)),IF(tblCapacityInputs[[#This Row],[source_entity_type]]="request",INDEX(tblRequests[owner_role_id],MATCH(tblCapacityInputs[[#This Row],[source_entity_id]],tblRequests[request_id],0)),IF(tblCapacityInputs[[#This Row],[source_entity_type]]="handoff",INDEX(tblHandoffs[to_role_id],MATCH(tblCapacityInputs[[#This Row],[source_entity_id]],tblHandoffs[handoff_id],0)),IF(tblCapacityInputs[[#This Row],[source_entity_type]]="phase",INDEX(tblPhases[owner_role_id],MATCH(tblCapacityInputs[[#This Row],[source_entity_id]],tblPhases[phase_id],0)),"source_not_found"))))&amp;"","source_not_found"))</f>
        <v/>
      </c>
      <c r="G9" s="7" t="inlineStr">
        <is>
          <t>TSK-000005</t>
        </is>
      </c>
      <c r="H9" s="7" t="inlineStr">
        <is>
          <t>task_effort</t>
        </is>
      </c>
      <c r="I9" s="14">
        <f>IF(tblCapacityInputs[[#This Row],[capacity_input_id]]="","",IFERROR(IF(LEFT(tblCapacityInputs[[#This Row],[workload_component_id]],3)="TSK",INDEX(tblTasks[planned_hours],MATCH(tblCapacityInputs[[#This Row],[workload_component_id]],tblTasks[task_id],0))*1,IF(LEFT(tblCapacityInputs[[#This Row],[workload_component_id]],3)="PHS",SUMIFS(tblTasks[planned_hours],tblTasks[phase_id],tblCapacityInputs[[#This Row],[workload_component_id]]),"component_not_found")),"component_not_found"))</f>
        <v/>
      </c>
      <c r="J9" s="14">
        <f>IF(tblCapacityInputs[[#This Row],[capacity_input_id]]="","",IFERROR(IF(LEFT(tblCapacityInputs[[#This Row],[workload_component_id]],3)="TSK",INDEX(tblTasks[actual_hours],MATCH(tblCapacityInputs[[#This Row],[workload_component_id]],tblTasks[task_id],0))*1,IF(LEFT(tblCapacityInputs[[#This Row],[workload_component_id]],3)="PHS",SUMIFS(tblTasks[actual_hours],tblTasks[phase_id],tblCapacityInputs[[#This Row],[workload_component_id]]),"component_not_found")),"component_not_found"))</f>
        <v/>
      </c>
      <c r="K9" s="7" t="inlineStr">
        <is>
          <t>hours</t>
        </is>
      </c>
      <c r="L9" s="7" t="inlineStr">
        <is>
          <t>authoritative_workload</t>
        </is>
      </c>
      <c r="M9" s="7" t="inlineStr">
        <is>
          <t>implementation-operating-system</t>
        </is>
      </c>
      <c r="N9" s="6" t="inlineStr">
        <is>
          <t>9acd25a</t>
        </is>
      </c>
      <c r="O9" s="14">
        <f>IF(tblCapacityInputs[[#This Row],[capacity_input_id]]="","",IFERROR(INDEX(tblProjects[org_stage],MATCH(tblCapacityInputs[[#This Row],[project_id]],tblProjects[project_id],0))&amp;"",""))</f>
        <v/>
      </c>
      <c r="P9" s="14">
        <f>IF(tblCapacityInputs[[#This Row],[capacity_input_id]]="","",AND(NOT(tblCapacityInputs[[#This Row],[duplicate_authoritative_flag]]),ISNUMBER(tblCapacityInputs[[#This Row],[planned_hours]]),ISNUMBER(tblCapacityInputs[[#This Row],[actual_hours]]),tblCapacityInputs[[#This Row],[unit]]="hours",tblCapacityInputs[[#This Row],[project_id]]&lt;&gt;"source_not_found",COUNTIFS(tblLookupEntries[lookup_type],"capacity_inclusion_method",tblLookupEntries[key],tblCapacityInputs[[#This Row],[capacity_inclusion_method]])&gt;0))</f>
        <v/>
      </c>
      <c r="Q9" s="14">
        <f>IF(tblCapacityInputs[[#This Row],[capacity_input_id]]="","",AND(tblCapacityInputs[[#This Row],[capacity_inclusion_method]]="authoritative_workload",COUNTIFS(tblCapacityInputs[workload_component_id],tblCapacityInputs[[#This Row],[workload_component_id]],tblCapacityInputs[capacity_inclusion_method],"authoritative_workload")&gt;1))</f>
        <v/>
      </c>
      <c r="R9" s="14">
        <f>IF(tblCapacityInputs[[#This Row],[capacity_input_id]]="","",IF(AND(tblCapacityInputs[[#This Row],[capacity_inclusion_method]]="authoritative_workload",NOT(tblCapacityInputs[[#This Row],[duplicate_authoritative_flag]]),ISNUMBER(tblCapacityInputs[[#This Row],[planned_hours]])),tblCapacityInputs[[#This Row],[planned_hours]],0))</f>
        <v/>
      </c>
      <c r="S9" s="14">
        <f>IF(tblCapacityInputs[[#This Row],[capacity_input_id]]="","",IF(AND(tblCapacityInputs[[#This Row],[capacity_inclusion_method]]="authoritative_workload",NOT(tblCapacityInputs[[#This Row],[duplicate_authoritative_flag]]),ISNUMBER(tblCapacityInputs[[#This Row],[actual_hours]])),tblCapacityInputs[[#This Row],[actual_hours]],0))</f>
        <v/>
      </c>
      <c r="U9" s="7" t="inlineStr">
        <is>
          <t>hours_reconciliation</t>
        </is>
      </c>
      <c r="V9" s="14">
        <f>IF(AND(ABS(SUM(tblCapacityInputs[authoritative_planned_hours])-SUM(tblTasks[planned_hours]))&lt;0.0001,ABS(SUM(tblCapacityInputs[authoritative_actual_hours])-SUM(tblTasks[actual_hours]))&lt;0.0001),"reconciled","mismatch")</f>
        <v/>
      </c>
      <c r="W9" s="7" t="inlineStr">
        <is>
          <t>reconciled when authoritative totals equal the task totals: every task counted exactly once.</t>
        </is>
      </c>
    </row>
    <row r="10">
      <c r="A10" s="7" t="inlineStr">
        <is>
          <t>CPI-000006</t>
        </is>
      </c>
      <c r="B10" s="14">
        <f>IF(tblCapacityInputs[[#This Row],[capacity_input_id]]="","",IFERROR(IF(LEFT(tblCapacityInputs[[#This Row],[workload_component_id]],3)="TSK",LEFT(INDEX(tblTasks[planned_due_date],MATCH(tblCapacityInputs[[#This Row],[workload_component_id]],tblTasks[task_id],0))&amp;"",7),LEFT(INDEX(tblPhases[entered_at],MATCH(tblCapacityInputs[[#This Row],[workload_component_id]],tblPhases[phase_id],0))&amp;"",7)),""))</f>
        <v/>
      </c>
      <c r="C10" s="14">
        <f>IF(tblCapacityInputs[[#This Row],[capacity_input_id]]="","",IFERROR(IF(tblCapacityInputs[[#This Row],[source_entity_type]]="task",INDEX(tblTasks[project_id],MATCH(tblCapacityInputs[[#This Row],[source_entity_id]],tblTasks[task_id],0)),IF(tblCapacityInputs[[#This Row],[source_entity_type]]="request",INDEX(tblRequests[project_id],MATCH(tblCapacityInputs[[#This Row],[source_entity_id]],tblRequests[request_id],0)),IF(tblCapacityInputs[[#This Row],[source_entity_type]]="handoff",INDEX(tblHandoffs[project_id],MATCH(tblCapacityInputs[[#This Row],[source_entity_id]],tblHandoffs[handoff_id],0)),IF(tblCapacityInputs[[#This Row],[source_entity_type]]="phase",INDEX(tblPhases[project_id],MATCH(tblCapacityInputs[[#This Row],[source_entity_id]],tblPhases[phase_id],0)),"source_not_found"))))&amp;"","source_not_found"))</f>
        <v/>
      </c>
      <c r="D10" s="7" t="inlineStr">
        <is>
          <t>task</t>
        </is>
      </c>
      <c r="E10" s="7" t="inlineStr">
        <is>
          <t>TSK-000006</t>
        </is>
      </c>
      <c r="F10" s="14">
        <f>IF(tblCapacityInputs[[#This Row],[capacity_input_id]]="","",IFERROR(IF(tblCapacityInputs[[#This Row],[source_entity_type]]="task",INDEX(tblTasks[owner_role_id],MATCH(tblCapacityInputs[[#This Row],[source_entity_id]],tblTasks[task_id],0)),IF(tblCapacityInputs[[#This Row],[source_entity_type]]="request",INDEX(tblRequests[owner_role_id],MATCH(tblCapacityInputs[[#This Row],[source_entity_id]],tblRequests[request_id],0)),IF(tblCapacityInputs[[#This Row],[source_entity_type]]="handoff",INDEX(tblHandoffs[to_role_id],MATCH(tblCapacityInputs[[#This Row],[source_entity_id]],tblHandoffs[handoff_id],0)),IF(tblCapacityInputs[[#This Row],[source_entity_type]]="phase",INDEX(tblPhases[owner_role_id],MATCH(tblCapacityInputs[[#This Row],[source_entity_id]],tblPhases[phase_id],0)),"source_not_found"))))&amp;"","source_not_found"))</f>
        <v/>
      </c>
      <c r="G10" s="7" t="inlineStr">
        <is>
          <t>TSK-000006</t>
        </is>
      </c>
      <c r="H10" s="7" t="inlineStr">
        <is>
          <t>task_effort</t>
        </is>
      </c>
      <c r="I10" s="14">
        <f>IF(tblCapacityInputs[[#This Row],[capacity_input_id]]="","",IFERROR(IF(LEFT(tblCapacityInputs[[#This Row],[workload_component_id]],3)="TSK",INDEX(tblTasks[planned_hours],MATCH(tblCapacityInputs[[#This Row],[workload_component_id]],tblTasks[task_id],0))*1,IF(LEFT(tblCapacityInputs[[#This Row],[workload_component_id]],3)="PHS",SUMIFS(tblTasks[planned_hours],tblTasks[phase_id],tblCapacityInputs[[#This Row],[workload_component_id]]),"component_not_found")),"component_not_found"))</f>
        <v/>
      </c>
      <c r="J10" s="14">
        <f>IF(tblCapacityInputs[[#This Row],[capacity_input_id]]="","",IFERROR(IF(LEFT(tblCapacityInputs[[#This Row],[workload_component_id]],3)="TSK",INDEX(tblTasks[actual_hours],MATCH(tblCapacityInputs[[#This Row],[workload_component_id]],tblTasks[task_id],0))*1,IF(LEFT(tblCapacityInputs[[#This Row],[workload_component_id]],3)="PHS",SUMIFS(tblTasks[actual_hours],tblTasks[phase_id],tblCapacityInputs[[#This Row],[workload_component_id]]),"component_not_found")),"component_not_found"))</f>
        <v/>
      </c>
      <c r="K10" s="7" t="inlineStr">
        <is>
          <t>hours</t>
        </is>
      </c>
      <c r="L10" s="7" t="inlineStr">
        <is>
          <t>authoritative_workload</t>
        </is>
      </c>
      <c r="M10" s="7" t="inlineStr">
        <is>
          <t>implementation-operating-system</t>
        </is>
      </c>
      <c r="N10" s="6" t="inlineStr">
        <is>
          <t>9acd25a</t>
        </is>
      </c>
      <c r="O10" s="14">
        <f>IF(tblCapacityInputs[[#This Row],[capacity_input_id]]="","",IFERROR(INDEX(tblProjects[org_stage],MATCH(tblCapacityInputs[[#This Row],[project_id]],tblProjects[project_id],0))&amp;"",""))</f>
        <v/>
      </c>
      <c r="P10" s="14">
        <f>IF(tblCapacityInputs[[#This Row],[capacity_input_id]]="","",AND(NOT(tblCapacityInputs[[#This Row],[duplicate_authoritative_flag]]),ISNUMBER(tblCapacityInputs[[#This Row],[planned_hours]]),ISNUMBER(tblCapacityInputs[[#This Row],[actual_hours]]),tblCapacityInputs[[#This Row],[unit]]="hours",tblCapacityInputs[[#This Row],[project_id]]&lt;&gt;"source_not_found",COUNTIFS(tblLookupEntries[lookup_type],"capacity_inclusion_method",tblLookupEntries[key],tblCapacityInputs[[#This Row],[capacity_inclusion_method]])&gt;0))</f>
        <v/>
      </c>
      <c r="Q10" s="14">
        <f>IF(tblCapacityInputs[[#This Row],[capacity_input_id]]="","",AND(tblCapacityInputs[[#This Row],[capacity_inclusion_method]]="authoritative_workload",COUNTIFS(tblCapacityInputs[workload_component_id],tblCapacityInputs[[#This Row],[workload_component_id]],tblCapacityInputs[capacity_inclusion_method],"authoritative_workload")&gt;1))</f>
        <v/>
      </c>
      <c r="R10" s="14">
        <f>IF(tblCapacityInputs[[#This Row],[capacity_input_id]]="","",IF(AND(tblCapacityInputs[[#This Row],[capacity_inclusion_method]]="authoritative_workload",NOT(tblCapacityInputs[[#This Row],[duplicate_authoritative_flag]]),ISNUMBER(tblCapacityInputs[[#This Row],[planned_hours]])),tblCapacityInputs[[#This Row],[planned_hours]],0))</f>
        <v/>
      </c>
      <c r="S10" s="14">
        <f>IF(tblCapacityInputs[[#This Row],[capacity_input_id]]="","",IF(AND(tblCapacityInputs[[#This Row],[capacity_inclusion_method]]="authoritative_workload",NOT(tblCapacityInputs[[#This Row],[duplicate_authoritative_flag]]),ISNUMBER(tblCapacityInputs[[#This Row],[actual_hours]])),tblCapacityInputs[[#This Row],[actual_hours]],0))</f>
        <v/>
      </c>
      <c r="U10" s="7" t="inlineStr">
        <is>
          <t>authoritative_row_count</t>
        </is>
      </c>
      <c r="V10" s="14">
        <f>COUNTIF(tblCapacityInputs[capacity_inclusion_method],"authoritative_workload")</f>
        <v/>
      </c>
      <c r="W10" s="7" t="inlineStr">
        <is>
          <t>Rows that carry authoritative workload.</t>
        </is>
      </c>
    </row>
    <row r="11">
      <c r="A11" s="7" t="inlineStr">
        <is>
          <t>CPI-000007</t>
        </is>
      </c>
      <c r="B11" s="14">
        <f>IF(tblCapacityInputs[[#This Row],[capacity_input_id]]="","",IFERROR(IF(LEFT(tblCapacityInputs[[#This Row],[workload_component_id]],3)="TSK",LEFT(INDEX(tblTasks[planned_due_date],MATCH(tblCapacityInputs[[#This Row],[workload_component_id]],tblTasks[task_id],0))&amp;"",7),LEFT(INDEX(tblPhases[entered_at],MATCH(tblCapacityInputs[[#This Row],[workload_component_id]],tblPhases[phase_id],0))&amp;"",7)),""))</f>
        <v/>
      </c>
      <c r="C11" s="14">
        <f>IF(tblCapacityInputs[[#This Row],[capacity_input_id]]="","",IFERROR(IF(tblCapacityInputs[[#This Row],[source_entity_type]]="task",INDEX(tblTasks[project_id],MATCH(tblCapacityInputs[[#This Row],[source_entity_id]],tblTasks[task_id],0)),IF(tblCapacityInputs[[#This Row],[source_entity_type]]="request",INDEX(tblRequests[project_id],MATCH(tblCapacityInputs[[#This Row],[source_entity_id]],tblRequests[request_id],0)),IF(tblCapacityInputs[[#This Row],[source_entity_type]]="handoff",INDEX(tblHandoffs[project_id],MATCH(tblCapacityInputs[[#This Row],[source_entity_id]],tblHandoffs[handoff_id],0)),IF(tblCapacityInputs[[#This Row],[source_entity_type]]="phase",INDEX(tblPhases[project_id],MATCH(tblCapacityInputs[[#This Row],[source_entity_id]],tblPhases[phase_id],0)),"source_not_found"))))&amp;"","source_not_found"))</f>
        <v/>
      </c>
      <c r="D11" s="7" t="inlineStr">
        <is>
          <t>task</t>
        </is>
      </c>
      <c r="E11" s="7" t="inlineStr">
        <is>
          <t>TSK-000007</t>
        </is>
      </c>
      <c r="F11" s="14">
        <f>IF(tblCapacityInputs[[#This Row],[capacity_input_id]]="","",IFERROR(IF(tblCapacityInputs[[#This Row],[source_entity_type]]="task",INDEX(tblTasks[owner_role_id],MATCH(tblCapacityInputs[[#This Row],[source_entity_id]],tblTasks[task_id],0)),IF(tblCapacityInputs[[#This Row],[source_entity_type]]="request",INDEX(tblRequests[owner_role_id],MATCH(tblCapacityInputs[[#This Row],[source_entity_id]],tblRequests[request_id],0)),IF(tblCapacityInputs[[#This Row],[source_entity_type]]="handoff",INDEX(tblHandoffs[to_role_id],MATCH(tblCapacityInputs[[#This Row],[source_entity_id]],tblHandoffs[handoff_id],0)),IF(tblCapacityInputs[[#This Row],[source_entity_type]]="phase",INDEX(tblPhases[owner_role_id],MATCH(tblCapacityInputs[[#This Row],[source_entity_id]],tblPhases[phase_id],0)),"source_not_found"))))&amp;"","source_not_found"))</f>
        <v/>
      </c>
      <c r="G11" s="7" t="inlineStr">
        <is>
          <t>TSK-000007</t>
        </is>
      </c>
      <c r="H11" s="7" t="inlineStr">
        <is>
          <t>task_effort</t>
        </is>
      </c>
      <c r="I11" s="14">
        <f>IF(tblCapacityInputs[[#This Row],[capacity_input_id]]="","",IFERROR(IF(LEFT(tblCapacityInputs[[#This Row],[workload_component_id]],3)="TSK",INDEX(tblTasks[planned_hours],MATCH(tblCapacityInputs[[#This Row],[workload_component_id]],tblTasks[task_id],0))*1,IF(LEFT(tblCapacityInputs[[#This Row],[workload_component_id]],3)="PHS",SUMIFS(tblTasks[planned_hours],tblTasks[phase_id],tblCapacityInputs[[#This Row],[workload_component_id]]),"component_not_found")),"component_not_found"))</f>
        <v/>
      </c>
      <c r="J11" s="14">
        <f>IF(tblCapacityInputs[[#This Row],[capacity_input_id]]="","",IFERROR(IF(LEFT(tblCapacityInputs[[#This Row],[workload_component_id]],3)="TSK",INDEX(tblTasks[actual_hours],MATCH(tblCapacityInputs[[#This Row],[workload_component_id]],tblTasks[task_id],0))*1,IF(LEFT(tblCapacityInputs[[#This Row],[workload_component_id]],3)="PHS",SUMIFS(tblTasks[actual_hours],tblTasks[phase_id],tblCapacityInputs[[#This Row],[workload_component_id]]),"component_not_found")),"component_not_found"))</f>
        <v/>
      </c>
      <c r="K11" s="7" t="inlineStr">
        <is>
          <t>hours</t>
        </is>
      </c>
      <c r="L11" s="7" t="inlineStr">
        <is>
          <t>authoritative_workload</t>
        </is>
      </c>
      <c r="M11" s="7" t="inlineStr">
        <is>
          <t>implementation-operating-system</t>
        </is>
      </c>
      <c r="N11" s="6" t="inlineStr">
        <is>
          <t>9acd25a</t>
        </is>
      </c>
      <c r="O11" s="14">
        <f>IF(tblCapacityInputs[[#This Row],[capacity_input_id]]="","",IFERROR(INDEX(tblProjects[org_stage],MATCH(tblCapacityInputs[[#This Row],[project_id]],tblProjects[project_id],0))&amp;"",""))</f>
        <v/>
      </c>
      <c r="P11" s="14">
        <f>IF(tblCapacityInputs[[#This Row],[capacity_input_id]]="","",AND(NOT(tblCapacityInputs[[#This Row],[duplicate_authoritative_flag]]),ISNUMBER(tblCapacityInputs[[#This Row],[planned_hours]]),ISNUMBER(tblCapacityInputs[[#This Row],[actual_hours]]),tblCapacityInputs[[#This Row],[unit]]="hours",tblCapacityInputs[[#This Row],[project_id]]&lt;&gt;"source_not_found",COUNTIFS(tblLookupEntries[lookup_type],"capacity_inclusion_method",tblLookupEntries[key],tblCapacityInputs[[#This Row],[capacity_inclusion_method]])&gt;0))</f>
        <v/>
      </c>
      <c r="Q11" s="14">
        <f>IF(tblCapacityInputs[[#This Row],[capacity_input_id]]="","",AND(tblCapacityInputs[[#This Row],[capacity_inclusion_method]]="authoritative_workload",COUNTIFS(tblCapacityInputs[workload_component_id],tblCapacityInputs[[#This Row],[workload_component_id]],tblCapacityInputs[capacity_inclusion_method],"authoritative_workload")&gt;1))</f>
        <v/>
      </c>
      <c r="R11" s="14">
        <f>IF(tblCapacityInputs[[#This Row],[capacity_input_id]]="","",IF(AND(tblCapacityInputs[[#This Row],[capacity_inclusion_method]]="authoritative_workload",NOT(tblCapacityInputs[[#This Row],[duplicate_authoritative_flag]]),ISNUMBER(tblCapacityInputs[[#This Row],[planned_hours]])),tblCapacityInputs[[#This Row],[planned_hours]],0))</f>
        <v/>
      </c>
      <c r="S11" s="14">
        <f>IF(tblCapacityInputs[[#This Row],[capacity_input_id]]="","",IF(AND(tblCapacityInputs[[#This Row],[capacity_inclusion_method]]="authoritative_workload",NOT(tblCapacityInputs[[#This Row],[duplicate_authoritative_flag]]),ISNUMBER(tblCapacityInputs[[#This Row],[actual_hours]])),tblCapacityInputs[[#This Row],[actual_hours]],0))</f>
        <v/>
      </c>
      <c r="U11" s="7" t="inlineStr">
        <is>
          <t>informational_row_count</t>
        </is>
      </c>
      <c r="V11" s="14">
        <f>COUNTIF(tblCapacityInputs[capacity_inclusion_method],"informational_only")</f>
        <v/>
      </c>
      <c r="W11" s="7" t="inlineStr">
        <is>
          <t>Rows exported for context; ignored by capacity math.</t>
        </is>
      </c>
    </row>
    <row r="12">
      <c r="A12" s="7" t="inlineStr">
        <is>
          <t>CPI-000008</t>
        </is>
      </c>
      <c r="B12" s="14">
        <f>IF(tblCapacityInputs[[#This Row],[capacity_input_id]]="","",IFERROR(IF(LEFT(tblCapacityInputs[[#This Row],[workload_component_id]],3)="TSK",LEFT(INDEX(tblTasks[planned_due_date],MATCH(tblCapacityInputs[[#This Row],[workload_component_id]],tblTasks[task_id],0))&amp;"",7),LEFT(INDEX(tblPhases[entered_at],MATCH(tblCapacityInputs[[#This Row],[workload_component_id]],tblPhases[phase_id],0))&amp;"",7)),""))</f>
        <v/>
      </c>
      <c r="C12" s="14">
        <f>IF(tblCapacityInputs[[#This Row],[capacity_input_id]]="","",IFERROR(IF(tblCapacityInputs[[#This Row],[source_entity_type]]="task",INDEX(tblTasks[project_id],MATCH(tblCapacityInputs[[#This Row],[source_entity_id]],tblTasks[task_id],0)),IF(tblCapacityInputs[[#This Row],[source_entity_type]]="request",INDEX(tblRequests[project_id],MATCH(tblCapacityInputs[[#This Row],[source_entity_id]],tblRequests[request_id],0)),IF(tblCapacityInputs[[#This Row],[source_entity_type]]="handoff",INDEX(tblHandoffs[project_id],MATCH(tblCapacityInputs[[#This Row],[source_entity_id]],tblHandoffs[handoff_id],0)),IF(tblCapacityInputs[[#This Row],[source_entity_type]]="phase",INDEX(tblPhases[project_id],MATCH(tblCapacityInputs[[#This Row],[source_entity_id]],tblPhases[phase_id],0)),"source_not_found"))))&amp;"","source_not_found"))</f>
        <v/>
      </c>
      <c r="D12" s="7" t="inlineStr">
        <is>
          <t>task</t>
        </is>
      </c>
      <c r="E12" s="7" t="inlineStr">
        <is>
          <t>TSK-000008</t>
        </is>
      </c>
      <c r="F12" s="14">
        <f>IF(tblCapacityInputs[[#This Row],[capacity_input_id]]="","",IFERROR(IF(tblCapacityInputs[[#This Row],[source_entity_type]]="task",INDEX(tblTasks[owner_role_id],MATCH(tblCapacityInputs[[#This Row],[source_entity_id]],tblTasks[task_id],0)),IF(tblCapacityInputs[[#This Row],[source_entity_type]]="request",INDEX(tblRequests[owner_role_id],MATCH(tblCapacityInputs[[#This Row],[source_entity_id]],tblRequests[request_id],0)),IF(tblCapacityInputs[[#This Row],[source_entity_type]]="handoff",INDEX(tblHandoffs[to_role_id],MATCH(tblCapacityInputs[[#This Row],[source_entity_id]],tblHandoffs[handoff_id],0)),IF(tblCapacityInputs[[#This Row],[source_entity_type]]="phase",INDEX(tblPhases[owner_role_id],MATCH(tblCapacityInputs[[#This Row],[source_entity_id]],tblPhases[phase_id],0)),"source_not_found"))))&amp;"","source_not_found"))</f>
        <v/>
      </c>
      <c r="G12" s="7" t="inlineStr">
        <is>
          <t>TSK-000008</t>
        </is>
      </c>
      <c r="H12" s="7" t="inlineStr">
        <is>
          <t>task_effort</t>
        </is>
      </c>
      <c r="I12" s="14">
        <f>IF(tblCapacityInputs[[#This Row],[capacity_input_id]]="","",IFERROR(IF(LEFT(tblCapacityInputs[[#This Row],[workload_component_id]],3)="TSK",INDEX(tblTasks[planned_hours],MATCH(tblCapacityInputs[[#This Row],[workload_component_id]],tblTasks[task_id],0))*1,IF(LEFT(tblCapacityInputs[[#This Row],[workload_component_id]],3)="PHS",SUMIFS(tblTasks[planned_hours],tblTasks[phase_id],tblCapacityInputs[[#This Row],[workload_component_id]]),"component_not_found")),"component_not_found"))</f>
        <v/>
      </c>
      <c r="J12" s="14">
        <f>IF(tblCapacityInputs[[#This Row],[capacity_input_id]]="","",IFERROR(IF(LEFT(tblCapacityInputs[[#This Row],[workload_component_id]],3)="TSK",INDEX(tblTasks[actual_hours],MATCH(tblCapacityInputs[[#This Row],[workload_component_id]],tblTasks[task_id],0))*1,IF(LEFT(tblCapacityInputs[[#This Row],[workload_component_id]],3)="PHS",SUMIFS(tblTasks[actual_hours],tblTasks[phase_id],tblCapacityInputs[[#This Row],[workload_component_id]]),"component_not_found")),"component_not_found"))</f>
        <v/>
      </c>
      <c r="K12" s="7" t="inlineStr">
        <is>
          <t>hours</t>
        </is>
      </c>
      <c r="L12" s="7" t="inlineStr">
        <is>
          <t>authoritative_workload</t>
        </is>
      </c>
      <c r="M12" s="7" t="inlineStr">
        <is>
          <t>implementation-operating-system</t>
        </is>
      </c>
      <c r="N12" s="6" t="inlineStr">
        <is>
          <t>9acd25a</t>
        </is>
      </c>
      <c r="O12" s="14">
        <f>IF(tblCapacityInputs[[#This Row],[capacity_input_id]]="","",IFERROR(INDEX(tblProjects[org_stage],MATCH(tblCapacityInputs[[#This Row],[project_id]],tblProjects[project_id],0))&amp;"",""))</f>
        <v/>
      </c>
      <c r="P12" s="14">
        <f>IF(tblCapacityInputs[[#This Row],[capacity_input_id]]="","",AND(NOT(tblCapacityInputs[[#This Row],[duplicate_authoritative_flag]]),ISNUMBER(tblCapacityInputs[[#This Row],[planned_hours]]),ISNUMBER(tblCapacityInputs[[#This Row],[actual_hours]]),tblCapacityInputs[[#This Row],[unit]]="hours",tblCapacityInputs[[#This Row],[project_id]]&lt;&gt;"source_not_found",COUNTIFS(tblLookupEntries[lookup_type],"capacity_inclusion_method",tblLookupEntries[key],tblCapacityInputs[[#This Row],[capacity_inclusion_method]])&gt;0))</f>
        <v/>
      </c>
      <c r="Q12" s="14">
        <f>IF(tblCapacityInputs[[#This Row],[capacity_input_id]]="","",AND(tblCapacityInputs[[#This Row],[capacity_inclusion_method]]="authoritative_workload",COUNTIFS(tblCapacityInputs[workload_component_id],tblCapacityInputs[[#This Row],[workload_component_id]],tblCapacityInputs[capacity_inclusion_method],"authoritative_workload")&gt;1))</f>
        <v/>
      </c>
      <c r="R12" s="14">
        <f>IF(tblCapacityInputs[[#This Row],[capacity_input_id]]="","",IF(AND(tblCapacityInputs[[#This Row],[capacity_inclusion_method]]="authoritative_workload",NOT(tblCapacityInputs[[#This Row],[duplicate_authoritative_flag]]),ISNUMBER(tblCapacityInputs[[#This Row],[planned_hours]])),tblCapacityInputs[[#This Row],[planned_hours]],0))</f>
        <v/>
      </c>
      <c r="S12" s="14">
        <f>IF(tblCapacityInputs[[#This Row],[capacity_input_id]]="","",IF(AND(tblCapacityInputs[[#This Row],[capacity_inclusion_method]]="authoritative_workload",NOT(tblCapacityInputs[[#This Row],[duplicate_authoritative_flag]]),ISNUMBER(tblCapacityInputs[[#This Row],[actual_hours]])),tblCapacityInputs[[#This Row],[actual_hours]],0))</f>
        <v/>
      </c>
      <c r="U12" s="7" t="inlineStr">
        <is>
          <t>excluded_row_count</t>
        </is>
      </c>
      <c r="V12" s="14">
        <f>COUNTIF(tblCapacityInputs[capacity_inclusion_method],"excluded_to_prevent_double_count")</f>
        <v/>
      </c>
      <c r="W12" s="7" t="inlineStr">
        <is>
          <t>Rows that repeat a task's work and are excluded.</t>
        </is>
      </c>
    </row>
    <row r="13">
      <c r="A13" s="7" t="inlineStr">
        <is>
          <t>CPI-000009</t>
        </is>
      </c>
      <c r="B13" s="14">
        <f>IF(tblCapacityInputs[[#This Row],[capacity_input_id]]="","",IFERROR(IF(LEFT(tblCapacityInputs[[#This Row],[workload_component_id]],3)="TSK",LEFT(INDEX(tblTasks[planned_due_date],MATCH(tblCapacityInputs[[#This Row],[workload_component_id]],tblTasks[task_id],0))&amp;"",7),LEFT(INDEX(tblPhases[entered_at],MATCH(tblCapacityInputs[[#This Row],[workload_component_id]],tblPhases[phase_id],0))&amp;"",7)),""))</f>
        <v/>
      </c>
      <c r="C13" s="14">
        <f>IF(tblCapacityInputs[[#This Row],[capacity_input_id]]="","",IFERROR(IF(tblCapacityInputs[[#This Row],[source_entity_type]]="task",INDEX(tblTasks[project_id],MATCH(tblCapacityInputs[[#This Row],[source_entity_id]],tblTasks[task_id],0)),IF(tblCapacityInputs[[#This Row],[source_entity_type]]="request",INDEX(tblRequests[project_id],MATCH(tblCapacityInputs[[#This Row],[source_entity_id]],tblRequests[request_id],0)),IF(tblCapacityInputs[[#This Row],[source_entity_type]]="handoff",INDEX(tblHandoffs[project_id],MATCH(tblCapacityInputs[[#This Row],[source_entity_id]],tblHandoffs[handoff_id],0)),IF(tblCapacityInputs[[#This Row],[source_entity_type]]="phase",INDEX(tblPhases[project_id],MATCH(tblCapacityInputs[[#This Row],[source_entity_id]],tblPhases[phase_id],0)),"source_not_found"))))&amp;"","source_not_found"))</f>
        <v/>
      </c>
      <c r="D13" s="7" t="inlineStr">
        <is>
          <t>task</t>
        </is>
      </c>
      <c r="E13" s="7" t="inlineStr">
        <is>
          <t>TSK-000009</t>
        </is>
      </c>
      <c r="F13" s="14">
        <f>IF(tblCapacityInputs[[#This Row],[capacity_input_id]]="","",IFERROR(IF(tblCapacityInputs[[#This Row],[source_entity_type]]="task",INDEX(tblTasks[owner_role_id],MATCH(tblCapacityInputs[[#This Row],[source_entity_id]],tblTasks[task_id],0)),IF(tblCapacityInputs[[#This Row],[source_entity_type]]="request",INDEX(tblRequests[owner_role_id],MATCH(tblCapacityInputs[[#This Row],[source_entity_id]],tblRequests[request_id],0)),IF(tblCapacityInputs[[#This Row],[source_entity_type]]="handoff",INDEX(tblHandoffs[to_role_id],MATCH(tblCapacityInputs[[#This Row],[source_entity_id]],tblHandoffs[handoff_id],0)),IF(tblCapacityInputs[[#This Row],[source_entity_type]]="phase",INDEX(tblPhases[owner_role_id],MATCH(tblCapacityInputs[[#This Row],[source_entity_id]],tblPhases[phase_id],0)),"source_not_found"))))&amp;"","source_not_found"))</f>
        <v/>
      </c>
      <c r="G13" s="7" t="inlineStr">
        <is>
          <t>TSK-000009</t>
        </is>
      </c>
      <c r="H13" s="7" t="inlineStr">
        <is>
          <t>task_effort</t>
        </is>
      </c>
      <c r="I13" s="14">
        <f>IF(tblCapacityInputs[[#This Row],[capacity_input_id]]="","",IFERROR(IF(LEFT(tblCapacityInputs[[#This Row],[workload_component_id]],3)="TSK",INDEX(tblTasks[planned_hours],MATCH(tblCapacityInputs[[#This Row],[workload_component_id]],tblTasks[task_id],0))*1,IF(LEFT(tblCapacityInputs[[#This Row],[workload_component_id]],3)="PHS",SUMIFS(tblTasks[planned_hours],tblTasks[phase_id],tblCapacityInputs[[#This Row],[workload_component_id]]),"component_not_found")),"component_not_found"))</f>
        <v/>
      </c>
      <c r="J13" s="14">
        <f>IF(tblCapacityInputs[[#This Row],[capacity_input_id]]="","",IFERROR(IF(LEFT(tblCapacityInputs[[#This Row],[workload_component_id]],3)="TSK",INDEX(tblTasks[actual_hours],MATCH(tblCapacityInputs[[#This Row],[workload_component_id]],tblTasks[task_id],0))*1,IF(LEFT(tblCapacityInputs[[#This Row],[workload_component_id]],3)="PHS",SUMIFS(tblTasks[actual_hours],tblTasks[phase_id],tblCapacityInputs[[#This Row],[workload_component_id]]),"component_not_found")),"component_not_found"))</f>
        <v/>
      </c>
      <c r="K13" s="7" t="inlineStr">
        <is>
          <t>hours</t>
        </is>
      </c>
      <c r="L13" s="7" t="inlineStr">
        <is>
          <t>authoritative_workload</t>
        </is>
      </c>
      <c r="M13" s="7" t="inlineStr">
        <is>
          <t>implementation-operating-system</t>
        </is>
      </c>
      <c r="N13" s="6" t="inlineStr">
        <is>
          <t>9acd25a</t>
        </is>
      </c>
      <c r="O13" s="14">
        <f>IF(tblCapacityInputs[[#This Row],[capacity_input_id]]="","",IFERROR(INDEX(tblProjects[org_stage],MATCH(tblCapacityInputs[[#This Row],[project_id]],tblProjects[project_id],0))&amp;"",""))</f>
        <v/>
      </c>
      <c r="P13" s="14">
        <f>IF(tblCapacityInputs[[#This Row],[capacity_input_id]]="","",AND(NOT(tblCapacityInputs[[#This Row],[duplicate_authoritative_flag]]),ISNUMBER(tblCapacityInputs[[#This Row],[planned_hours]]),ISNUMBER(tblCapacityInputs[[#This Row],[actual_hours]]),tblCapacityInputs[[#This Row],[unit]]="hours",tblCapacityInputs[[#This Row],[project_id]]&lt;&gt;"source_not_found",COUNTIFS(tblLookupEntries[lookup_type],"capacity_inclusion_method",tblLookupEntries[key],tblCapacityInputs[[#This Row],[capacity_inclusion_method]])&gt;0))</f>
        <v/>
      </c>
      <c r="Q13" s="14">
        <f>IF(tblCapacityInputs[[#This Row],[capacity_input_id]]="","",AND(tblCapacityInputs[[#This Row],[capacity_inclusion_method]]="authoritative_workload",COUNTIFS(tblCapacityInputs[workload_component_id],tblCapacityInputs[[#This Row],[workload_component_id]],tblCapacityInputs[capacity_inclusion_method],"authoritative_workload")&gt;1))</f>
        <v/>
      </c>
      <c r="R13" s="14">
        <f>IF(tblCapacityInputs[[#This Row],[capacity_input_id]]="","",IF(AND(tblCapacityInputs[[#This Row],[capacity_inclusion_method]]="authoritative_workload",NOT(tblCapacityInputs[[#This Row],[duplicate_authoritative_flag]]),ISNUMBER(tblCapacityInputs[[#This Row],[planned_hours]])),tblCapacityInputs[[#This Row],[planned_hours]],0))</f>
        <v/>
      </c>
      <c r="S13" s="14">
        <f>IF(tblCapacityInputs[[#This Row],[capacity_input_id]]="","",IF(AND(tblCapacityInputs[[#This Row],[capacity_inclusion_method]]="authoritative_workload",NOT(tblCapacityInputs[[#This Row],[duplicate_authoritative_flag]]),ISNUMBER(tblCapacityInputs[[#This Row],[actual_hours]])),tblCapacityInputs[[#This Row],[actual_hours]],0))</f>
        <v/>
      </c>
      <c r="U13" s="7" t="inlineStr">
        <is>
          <t>duplicate_authoritative_count</t>
        </is>
      </c>
      <c r="V13" s="14">
        <f>COUNTIF(tblCapacityInputs[duplicate_authoritative_flag],TRUE)</f>
        <v/>
      </c>
      <c r="W13" s="7" t="inlineStr">
        <is>
          <t>Rows claiming an already-authoritative component; must be 0.</t>
        </is>
      </c>
    </row>
    <row r="14">
      <c r="A14" s="7" t="inlineStr">
        <is>
          <t>CPI-000010</t>
        </is>
      </c>
      <c r="B14" s="14">
        <f>IF(tblCapacityInputs[[#This Row],[capacity_input_id]]="","",IFERROR(IF(LEFT(tblCapacityInputs[[#This Row],[workload_component_id]],3)="TSK",LEFT(INDEX(tblTasks[planned_due_date],MATCH(tblCapacityInputs[[#This Row],[workload_component_id]],tblTasks[task_id],0))&amp;"",7),LEFT(INDEX(tblPhases[entered_at],MATCH(tblCapacityInputs[[#This Row],[workload_component_id]],tblPhases[phase_id],0))&amp;"",7)),""))</f>
        <v/>
      </c>
      <c r="C14" s="14">
        <f>IF(tblCapacityInputs[[#This Row],[capacity_input_id]]="","",IFERROR(IF(tblCapacityInputs[[#This Row],[source_entity_type]]="task",INDEX(tblTasks[project_id],MATCH(tblCapacityInputs[[#This Row],[source_entity_id]],tblTasks[task_id],0)),IF(tblCapacityInputs[[#This Row],[source_entity_type]]="request",INDEX(tblRequests[project_id],MATCH(tblCapacityInputs[[#This Row],[source_entity_id]],tblRequests[request_id],0)),IF(tblCapacityInputs[[#This Row],[source_entity_type]]="handoff",INDEX(tblHandoffs[project_id],MATCH(tblCapacityInputs[[#This Row],[source_entity_id]],tblHandoffs[handoff_id],0)),IF(tblCapacityInputs[[#This Row],[source_entity_type]]="phase",INDEX(tblPhases[project_id],MATCH(tblCapacityInputs[[#This Row],[source_entity_id]],tblPhases[phase_id],0)),"source_not_found"))))&amp;"","source_not_found"))</f>
        <v/>
      </c>
      <c r="D14" s="7" t="inlineStr">
        <is>
          <t>task</t>
        </is>
      </c>
      <c r="E14" s="7" t="inlineStr">
        <is>
          <t>TSK-000010</t>
        </is>
      </c>
      <c r="F14" s="14">
        <f>IF(tblCapacityInputs[[#This Row],[capacity_input_id]]="","",IFERROR(IF(tblCapacityInputs[[#This Row],[source_entity_type]]="task",INDEX(tblTasks[owner_role_id],MATCH(tblCapacityInputs[[#This Row],[source_entity_id]],tblTasks[task_id],0)),IF(tblCapacityInputs[[#This Row],[source_entity_type]]="request",INDEX(tblRequests[owner_role_id],MATCH(tblCapacityInputs[[#This Row],[source_entity_id]],tblRequests[request_id],0)),IF(tblCapacityInputs[[#This Row],[source_entity_type]]="handoff",INDEX(tblHandoffs[to_role_id],MATCH(tblCapacityInputs[[#This Row],[source_entity_id]],tblHandoffs[handoff_id],0)),IF(tblCapacityInputs[[#This Row],[source_entity_type]]="phase",INDEX(tblPhases[owner_role_id],MATCH(tblCapacityInputs[[#This Row],[source_entity_id]],tblPhases[phase_id],0)),"source_not_found"))))&amp;"","source_not_found"))</f>
        <v/>
      </c>
      <c r="G14" s="7" t="inlineStr">
        <is>
          <t>TSK-000010</t>
        </is>
      </c>
      <c r="H14" s="7" t="inlineStr">
        <is>
          <t>task_effort</t>
        </is>
      </c>
      <c r="I14" s="14">
        <f>IF(tblCapacityInputs[[#This Row],[capacity_input_id]]="","",IFERROR(IF(LEFT(tblCapacityInputs[[#This Row],[workload_component_id]],3)="TSK",INDEX(tblTasks[planned_hours],MATCH(tblCapacityInputs[[#This Row],[workload_component_id]],tblTasks[task_id],0))*1,IF(LEFT(tblCapacityInputs[[#This Row],[workload_component_id]],3)="PHS",SUMIFS(tblTasks[planned_hours],tblTasks[phase_id],tblCapacityInputs[[#This Row],[workload_component_id]]),"component_not_found")),"component_not_found"))</f>
        <v/>
      </c>
      <c r="J14" s="14">
        <f>IF(tblCapacityInputs[[#This Row],[capacity_input_id]]="","",IFERROR(IF(LEFT(tblCapacityInputs[[#This Row],[workload_component_id]],3)="TSK",INDEX(tblTasks[actual_hours],MATCH(tblCapacityInputs[[#This Row],[workload_component_id]],tblTasks[task_id],0))*1,IF(LEFT(tblCapacityInputs[[#This Row],[workload_component_id]],3)="PHS",SUMIFS(tblTasks[actual_hours],tblTasks[phase_id],tblCapacityInputs[[#This Row],[workload_component_id]]),"component_not_found")),"component_not_found"))</f>
        <v/>
      </c>
      <c r="K14" s="7" t="inlineStr">
        <is>
          <t>hours</t>
        </is>
      </c>
      <c r="L14" s="7" t="inlineStr">
        <is>
          <t>authoritative_workload</t>
        </is>
      </c>
      <c r="M14" s="7" t="inlineStr">
        <is>
          <t>implementation-operating-system</t>
        </is>
      </c>
      <c r="N14" s="6" t="inlineStr">
        <is>
          <t>9acd25a</t>
        </is>
      </c>
      <c r="O14" s="14">
        <f>IF(tblCapacityInputs[[#This Row],[capacity_input_id]]="","",IFERROR(INDEX(tblProjects[org_stage],MATCH(tblCapacityInputs[[#This Row],[project_id]],tblProjects[project_id],0))&amp;"",""))</f>
        <v/>
      </c>
      <c r="P14" s="14">
        <f>IF(tblCapacityInputs[[#This Row],[capacity_input_id]]="","",AND(NOT(tblCapacityInputs[[#This Row],[duplicate_authoritative_flag]]),ISNUMBER(tblCapacityInputs[[#This Row],[planned_hours]]),ISNUMBER(tblCapacityInputs[[#This Row],[actual_hours]]),tblCapacityInputs[[#This Row],[unit]]="hours",tblCapacityInputs[[#This Row],[project_id]]&lt;&gt;"source_not_found",COUNTIFS(tblLookupEntries[lookup_type],"capacity_inclusion_method",tblLookupEntries[key],tblCapacityInputs[[#This Row],[capacity_inclusion_method]])&gt;0))</f>
        <v/>
      </c>
      <c r="Q14" s="14">
        <f>IF(tblCapacityInputs[[#This Row],[capacity_input_id]]="","",AND(tblCapacityInputs[[#This Row],[capacity_inclusion_method]]="authoritative_workload",COUNTIFS(tblCapacityInputs[workload_component_id],tblCapacityInputs[[#This Row],[workload_component_id]],tblCapacityInputs[capacity_inclusion_method],"authoritative_workload")&gt;1))</f>
        <v/>
      </c>
      <c r="R14" s="14">
        <f>IF(tblCapacityInputs[[#This Row],[capacity_input_id]]="","",IF(AND(tblCapacityInputs[[#This Row],[capacity_inclusion_method]]="authoritative_workload",NOT(tblCapacityInputs[[#This Row],[duplicate_authoritative_flag]]),ISNUMBER(tblCapacityInputs[[#This Row],[planned_hours]])),tblCapacityInputs[[#This Row],[planned_hours]],0))</f>
        <v/>
      </c>
      <c r="S14" s="14">
        <f>IF(tblCapacityInputs[[#This Row],[capacity_input_id]]="","",IF(AND(tblCapacityInputs[[#This Row],[capacity_inclusion_method]]="authoritative_workload",NOT(tblCapacityInputs[[#This Row],[duplicate_authoritative_flag]]),ISNUMBER(tblCapacityInputs[[#This Row],[actual_hours]])),tblCapacityInputs[[#This Row],[actual_hours]],0))</f>
        <v/>
      </c>
      <c r="U14" s="7" t="inlineStr">
        <is>
          <t>tasks_without_authoritative_row</t>
        </is>
      </c>
      <c r="V14" s="14">
        <f>SUMPRODUCT((tblTasks[task_id]&lt;&gt;"")*(COUNTIFS(tblCapacityInputs[workload_component_id],tblTasks[task_id],tblCapacityInputs[capacity_inclusion_method],"authoritative_workload")=0))</f>
        <v/>
      </c>
      <c r="W14" s="7" t="inlineStr">
        <is>
          <t>Tasks with no authoritative capacity row; must be 0 before export.</t>
        </is>
      </c>
    </row>
    <row r="15">
      <c r="A15" s="7" t="inlineStr">
        <is>
          <t>CPI-000011</t>
        </is>
      </c>
      <c r="B15" s="14">
        <f>IF(tblCapacityInputs[[#This Row],[capacity_input_id]]="","",IFERROR(IF(LEFT(tblCapacityInputs[[#This Row],[workload_component_id]],3)="TSK",LEFT(INDEX(tblTasks[planned_due_date],MATCH(tblCapacityInputs[[#This Row],[workload_component_id]],tblTasks[task_id],0))&amp;"",7),LEFT(INDEX(tblPhases[entered_at],MATCH(tblCapacityInputs[[#This Row],[workload_component_id]],tblPhases[phase_id],0))&amp;"",7)),""))</f>
        <v/>
      </c>
      <c r="C15" s="14">
        <f>IF(tblCapacityInputs[[#This Row],[capacity_input_id]]="","",IFERROR(IF(tblCapacityInputs[[#This Row],[source_entity_type]]="task",INDEX(tblTasks[project_id],MATCH(tblCapacityInputs[[#This Row],[source_entity_id]],tblTasks[task_id],0)),IF(tblCapacityInputs[[#This Row],[source_entity_type]]="request",INDEX(tblRequests[project_id],MATCH(tblCapacityInputs[[#This Row],[source_entity_id]],tblRequests[request_id],0)),IF(tblCapacityInputs[[#This Row],[source_entity_type]]="handoff",INDEX(tblHandoffs[project_id],MATCH(tblCapacityInputs[[#This Row],[source_entity_id]],tblHandoffs[handoff_id],0)),IF(tblCapacityInputs[[#This Row],[source_entity_type]]="phase",INDEX(tblPhases[project_id],MATCH(tblCapacityInputs[[#This Row],[source_entity_id]],tblPhases[phase_id],0)),"source_not_found"))))&amp;"","source_not_found"))</f>
        <v/>
      </c>
      <c r="D15" s="7" t="inlineStr">
        <is>
          <t>task</t>
        </is>
      </c>
      <c r="E15" s="7" t="inlineStr">
        <is>
          <t>TSK-000011</t>
        </is>
      </c>
      <c r="F15" s="14">
        <f>IF(tblCapacityInputs[[#This Row],[capacity_input_id]]="","",IFERROR(IF(tblCapacityInputs[[#This Row],[source_entity_type]]="task",INDEX(tblTasks[owner_role_id],MATCH(tblCapacityInputs[[#This Row],[source_entity_id]],tblTasks[task_id],0)),IF(tblCapacityInputs[[#This Row],[source_entity_type]]="request",INDEX(tblRequests[owner_role_id],MATCH(tblCapacityInputs[[#This Row],[source_entity_id]],tblRequests[request_id],0)),IF(tblCapacityInputs[[#This Row],[source_entity_type]]="handoff",INDEX(tblHandoffs[to_role_id],MATCH(tblCapacityInputs[[#This Row],[source_entity_id]],tblHandoffs[handoff_id],0)),IF(tblCapacityInputs[[#This Row],[source_entity_type]]="phase",INDEX(tblPhases[owner_role_id],MATCH(tblCapacityInputs[[#This Row],[source_entity_id]],tblPhases[phase_id],0)),"source_not_found"))))&amp;"","source_not_found"))</f>
        <v/>
      </c>
      <c r="G15" s="7" t="inlineStr">
        <is>
          <t>TSK-000011</t>
        </is>
      </c>
      <c r="H15" s="7" t="inlineStr">
        <is>
          <t>task_effort</t>
        </is>
      </c>
      <c r="I15" s="14">
        <f>IF(tblCapacityInputs[[#This Row],[capacity_input_id]]="","",IFERROR(IF(LEFT(tblCapacityInputs[[#This Row],[workload_component_id]],3)="TSK",INDEX(tblTasks[planned_hours],MATCH(tblCapacityInputs[[#This Row],[workload_component_id]],tblTasks[task_id],0))*1,IF(LEFT(tblCapacityInputs[[#This Row],[workload_component_id]],3)="PHS",SUMIFS(tblTasks[planned_hours],tblTasks[phase_id],tblCapacityInputs[[#This Row],[workload_component_id]]),"component_not_found")),"component_not_found"))</f>
        <v/>
      </c>
      <c r="J15" s="14">
        <f>IF(tblCapacityInputs[[#This Row],[capacity_input_id]]="","",IFERROR(IF(LEFT(tblCapacityInputs[[#This Row],[workload_component_id]],3)="TSK",INDEX(tblTasks[actual_hours],MATCH(tblCapacityInputs[[#This Row],[workload_component_id]],tblTasks[task_id],0))*1,IF(LEFT(tblCapacityInputs[[#This Row],[workload_component_id]],3)="PHS",SUMIFS(tblTasks[actual_hours],tblTasks[phase_id],tblCapacityInputs[[#This Row],[workload_component_id]]),"component_not_found")),"component_not_found"))</f>
        <v/>
      </c>
      <c r="K15" s="7" t="inlineStr">
        <is>
          <t>hours</t>
        </is>
      </c>
      <c r="L15" s="7" t="inlineStr">
        <is>
          <t>authoritative_workload</t>
        </is>
      </c>
      <c r="M15" s="7" t="inlineStr">
        <is>
          <t>implementation-operating-system</t>
        </is>
      </c>
      <c r="N15" s="6" t="inlineStr">
        <is>
          <t>9acd25a</t>
        </is>
      </c>
      <c r="O15" s="14">
        <f>IF(tblCapacityInputs[[#This Row],[capacity_input_id]]="","",IFERROR(INDEX(tblProjects[org_stage],MATCH(tblCapacityInputs[[#This Row],[project_id]],tblProjects[project_id],0))&amp;"",""))</f>
        <v/>
      </c>
      <c r="P15" s="14">
        <f>IF(tblCapacityInputs[[#This Row],[capacity_input_id]]="","",AND(NOT(tblCapacityInputs[[#This Row],[duplicate_authoritative_flag]]),ISNUMBER(tblCapacityInputs[[#This Row],[planned_hours]]),ISNUMBER(tblCapacityInputs[[#This Row],[actual_hours]]),tblCapacityInputs[[#This Row],[unit]]="hours",tblCapacityInputs[[#This Row],[project_id]]&lt;&gt;"source_not_found",COUNTIFS(tblLookupEntries[lookup_type],"capacity_inclusion_method",tblLookupEntries[key],tblCapacityInputs[[#This Row],[capacity_inclusion_method]])&gt;0))</f>
        <v/>
      </c>
      <c r="Q15" s="14">
        <f>IF(tblCapacityInputs[[#This Row],[capacity_input_id]]="","",AND(tblCapacityInputs[[#This Row],[capacity_inclusion_method]]="authoritative_workload",COUNTIFS(tblCapacityInputs[workload_component_id],tblCapacityInputs[[#This Row],[workload_component_id]],tblCapacityInputs[capacity_inclusion_method],"authoritative_workload")&gt;1))</f>
        <v/>
      </c>
      <c r="R15" s="14">
        <f>IF(tblCapacityInputs[[#This Row],[capacity_input_id]]="","",IF(AND(tblCapacityInputs[[#This Row],[capacity_inclusion_method]]="authoritative_workload",NOT(tblCapacityInputs[[#This Row],[duplicate_authoritative_flag]]),ISNUMBER(tblCapacityInputs[[#This Row],[planned_hours]])),tblCapacityInputs[[#This Row],[planned_hours]],0))</f>
        <v/>
      </c>
      <c r="S15" s="14">
        <f>IF(tblCapacityInputs[[#This Row],[capacity_input_id]]="","",IF(AND(tblCapacityInputs[[#This Row],[capacity_inclusion_method]]="authoritative_workload",NOT(tblCapacityInputs[[#This Row],[duplicate_authoritative_flag]]),ISNUMBER(tblCapacityInputs[[#This Row],[actual_hours]])),tblCapacityInputs[[#This Row],[actual_hours]],0))</f>
        <v/>
      </c>
      <c r="U15" s="7" t="inlineStr">
        <is>
          <t>export_ready_row_count</t>
        </is>
      </c>
      <c r="V15" s="14">
        <f>COUNTIF(tblCapacityInputs[export_ready_flag],TRUE)</f>
        <v/>
      </c>
      <c r="W15" s="7" t="inlineStr">
        <is>
          <t>Rows ready to export.</t>
        </is>
      </c>
    </row>
    <row r="16">
      <c r="A16" s="7" t="inlineStr">
        <is>
          <t>CPI-000012</t>
        </is>
      </c>
      <c r="B16" s="14">
        <f>IF(tblCapacityInputs[[#This Row],[capacity_input_id]]="","",IFERROR(IF(LEFT(tblCapacityInputs[[#This Row],[workload_component_id]],3)="TSK",LEFT(INDEX(tblTasks[planned_due_date],MATCH(tblCapacityInputs[[#This Row],[workload_component_id]],tblTasks[task_id],0))&amp;"",7),LEFT(INDEX(tblPhases[entered_at],MATCH(tblCapacityInputs[[#This Row],[workload_component_id]],tblPhases[phase_id],0))&amp;"",7)),""))</f>
        <v/>
      </c>
      <c r="C16" s="14">
        <f>IF(tblCapacityInputs[[#This Row],[capacity_input_id]]="","",IFERROR(IF(tblCapacityInputs[[#This Row],[source_entity_type]]="task",INDEX(tblTasks[project_id],MATCH(tblCapacityInputs[[#This Row],[source_entity_id]],tblTasks[task_id],0)),IF(tblCapacityInputs[[#This Row],[source_entity_type]]="request",INDEX(tblRequests[project_id],MATCH(tblCapacityInputs[[#This Row],[source_entity_id]],tblRequests[request_id],0)),IF(tblCapacityInputs[[#This Row],[source_entity_type]]="handoff",INDEX(tblHandoffs[project_id],MATCH(tblCapacityInputs[[#This Row],[source_entity_id]],tblHandoffs[handoff_id],0)),IF(tblCapacityInputs[[#This Row],[source_entity_type]]="phase",INDEX(tblPhases[project_id],MATCH(tblCapacityInputs[[#This Row],[source_entity_id]],tblPhases[phase_id],0)),"source_not_found"))))&amp;"","source_not_found"))</f>
        <v/>
      </c>
      <c r="D16" s="7" t="inlineStr">
        <is>
          <t>task</t>
        </is>
      </c>
      <c r="E16" s="7" t="inlineStr">
        <is>
          <t>TSK-000012</t>
        </is>
      </c>
      <c r="F16" s="14">
        <f>IF(tblCapacityInputs[[#This Row],[capacity_input_id]]="","",IFERROR(IF(tblCapacityInputs[[#This Row],[source_entity_type]]="task",INDEX(tblTasks[owner_role_id],MATCH(tblCapacityInputs[[#This Row],[source_entity_id]],tblTasks[task_id],0)),IF(tblCapacityInputs[[#This Row],[source_entity_type]]="request",INDEX(tblRequests[owner_role_id],MATCH(tblCapacityInputs[[#This Row],[source_entity_id]],tblRequests[request_id],0)),IF(tblCapacityInputs[[#This Row],[source_entity_type]]="handoff",INDEX(tblHandoffs[to_role_id],MATCH(tblCapacityInputs[[#This Row],[source_entity_id]],tblHandoffs[handoff_id],0)),IF(tblCapacityInputs[[#This Row],[source_entity_type]]="phase",INDEX(tblPhases[owner_role_id],MATCH(tblCapacityInputs[[#This Row],[source_entity_id]],tblPhases[phase_id],0)),"source_not_found"))))&amp;"","source_not_found"))</f>
        <v/>
      </c>
      <c r="G16" s="7" t="inlineStr">
        <is>
          <t>TSK-000012</t>
        </is>
      </c>
      <c r="H16" s="7" t="inlineStr">
        <is>
          <t>task_effort</t>
        </is>
      </c>
      <c r="I16" s="14">
        <f>IF(tblCapacityInputs[[#This Row],[capacity_input_id]]="","",IFERROR(IF(LEFT(tblCapacityInputs[[#This Row],[workload_component_id]],3)="TSK",INDEX(tblTasks[planned_hours],MATCH(tblCapacityInputs[[#This Row],[workload_component_id]],tblTasks[task_id],0))*1,IF(LEFT(tblCapacityInputs[[#This Row],[workload_component_id]],3)="PHS",SUMIFS(tblTasks[planned_hours],tblTasks[phase_id],tblCapacityInputs[[#This Row],[workload_component_id]]),"component_not_found")),"component_not_found"))</f>
        <v/>
      </c>
      <c r="J16" s="14">
        <f>IF(tblCapacityInputs[[#This Row],[capacity_input_id]]="","",IFERROR(IF(LEFT(tblCapacityInputs[[#This Row],[workload_component_id]],3)="TSK",INDEX(tblTasks[actual_hours],MATCH(tblCapacityInputs[[#This Row],[workload_component_id]],tblTasks[task_id],0))*1,IF(LEFT(tblCapacityInputs[[#This Row],[workload_component_id]],3)="PHS",SUMIFS(tblTasks[actual_hours],tblTasks[phase_id],tblCapacityInputs[[#This Row],[workload_component_id]]),"component_not_found")),"component_not_found"))</f>
        <v/>
      </c>
      <c r="K16" s="7" t="inlineStr">
        <is>
          <t>hours</t>
        </is>
      </c>
      <c r="L16" s="7" t="inlineStr">
        <is>
          <t>authoritative_workload</t>
        </is>
      </c>
      <c r="M16" s="7" t="inlineStr">
        <is>
          <t>implementation-operating-system</t>
        </is>
      </c>
      <c r="N16" s="6" t="inlineStr">
        <is>
          <t>9acd25a</t>
        </is>
      </c>
      <c r="O16" s="14">
        <f>IF(tblCapacityInputs[[#This Row],[capacity_input_id]]="","",IFERROR(INDEX(tblProjects[org_stage],MATCH(tblCapacityInputs[[#This Row],[project_id]],tblProjects[project_id],0))&amp;"",""))</f>
        <v/>
      </c>
      <c r="P16" s="14">
        <f>IF(tblCapacityInputs[[#This Row],[capacity_input_id]]="","",AND(NOT(tblCapacityInputs[[#This Row],[duplicate_authoritative_flag]]),ISNUMBER(tblCapacityInputs[[#This Row],[planned_hours]]),ISNUMBER(tblCapacityInputs[[#This Row],[actual_hours]]),tblCapacityInputs[[#This Row],[unit]]="hours",tblCapacityInputs[[#This Row],[project_id]]&lt;&gt;"source_not_found",COUNTIFS(tblLookupEntries[lookup_type],"capacity_inclusion_method",tblLookupEntries[key],tblCapacityInputs[[#This Row],[capacity_inclusion_method]])&gt;0))</f>
        <v/>
      </c>
      <c r="Q16" s="14">
        <f>IF(tblCapacityInputs[[#This Row],[capacity_input_id]]="","",AND(tblCapacityInputs[[#This Row],[capacity_inclusion_method]]="authoritative_workload",COUNTIFS(tblCapacityInputs[workload_component_id],tblCapacityInputs[[#This Row],[workload_component_id]],tblCapacityInputs[capacity_inclusion_method],"authoritative_workload")&gt;1))</f>
        <v/>
      </c>
      <c r="R16" s="14">
        <f>IF(tblCapacityInputs[[#This Row],[capacity_input_id]]="","",IF(AND(tblCapacityInputs[[#This Row],[capacity_inclusion_method]]="authoritative_workload",NOT(tblCapacityInputs[[#This Row],[duplicate_authoritative_flag]]),ISNUMBER(tblCapacityInputs[[#This Row],[planned_hours]])),tblCapacityInputs[[#This Row],[planned_hours]],0))</f>
        <v/>
      </c>
      <c r="S16" s="14">
        <f>IF(tblCapacityInputs[[#This Row],[capacity_input_id]]="","",IF(AND(tblCapacityInputs[[#This Row],[capacity_inclusion_method]]="authoritative_workload",NOT(tblCapacityInputs[[#This Row],[duplicate_authoritative_flag]]),ISNUMBER(tblCapacityInputs[[#This Row],[actual_hours]])),tblCapacityInputs[[#This Row],[actual_hours]],0))</f>
        <v/>
      </c>
    </row>
    <row r="17">
      <c r="A17" s="7" t="inlineStr">
        <is>
          <t>CPI-000013</t>
        </is>
      </c>
      <c r="B17" s="14">
        <f>IF(tblCapacityInputs[[#This Row],[capacity_input_id]]="","",IFERROR(IF(LEFT(tblCapacityInputs[[#This Row],[workload_component_id]],3)="TSK",LEFT(INDEX(tblTasks[planned_due_date],MATCH(tblCapacityInputs[[#This Row],[workload_component_id]],tblTasks[task_id],0))&amp;"",7),LEFT(INDEX(tblPhases[entered_at],MATCH(tblCapacityInputs[[#This Row],[workload_component_id]],tblPhases[phase_id],0))&amp;"",7)),""))</f>
        <v/>
      </c>
      <c r="C17" s="14">
        <f>IF(tblCapacityInputs[[#This Row],[capacity_input_id]]="","",IFERROR(IF(tblCapacityInputs[[#This Row],[source_entity_type]]="task",INDEX(tblTasks[project_id],MATCH(tblCapacityInputs[[#This Row],[source_entity_id]],tblTasks[task_id],0)),IF(tblCapacityInputs[[#This Row],[source_entity_type]]="request",INDEX(tblRequests[project_id],MATCH(tblCapacityInputs[[#This Row],[source_entity_id]],tblRequests[request_id],0)),IF(tblCapacityInputs[[#This Row],[source_entity_type]]="handoff",INDEX(tblHandoffs[project_id],MATCH(tblCapacityInputs[[#This Row],[source_entity_id]],tblHandoffs[handoff_id],0)),IF(tblCapacityInputs[[#This Row],[source_entity_type]]="phase",INDEX(tblPhases[project_id],MATCH(tblCapacityInputs[[#This Row],[source_entity_id]],tblPhases[phase_id],0)),"source_not_found"))))&amp;"","source_not_found"))</f>
        <v/>
      </c>
      <c r="D17" s="7" t="inlineStr">
        <is>
          <t>task</t>
        </is>
      </c>
      <c r="E17" s="7" t="inlineStr">
        <is>
          <t>TSK-000013</t>
        </is>
      </c>
      <c r="F17" s="14">
        <f>IF(tblCapacityInputs[[#This Row],[capacity_input_id]]="","",IFERROR(IF(tblCapacityInputs[[#This Row],[source_entity_type]]="task",INDEX(tblTasks[owner_role_id],MATCH(tblCapacityInputs[[#This Row],[source_entity_id]],tblTasks[task_id],0)),IF(tblCapacityInputs[[#This Row],[source_entity_type]]="request",INDEX(tblRequests[owner_role_id],MATCH(tblCapacityInputs[[#This Row],[source_entity_id]],tblRequests[request_id],0)),IF(tblCapacityInputs[[#This Row],[source_entity_type]]="handoff",INDEX(tblHandoffs[to_role_id],MATCH(tblCapacityInputs[[#This Row],[source_entity_id]],tblHandoffs[handoff_id],0)),IF(tblCapacityInputs[[#This Row],[source_entity_type]]="phase",INDEX(tblPhases[owner_role_id],MATCH(tblCapacityInputs[[#This Row],[source_entity_id]],tblPhases[phase_id],0)),"source_not_found"))))&amp;"","source_not_found"))</f>
        <v/>
      </c>
      <c r="G17" s="7" t="inlineStr">
        <is>
          <t>TSK-000013</t>
        </is>
      </c>
      <c r="H17" s="7" t="inlineStr">
        <is>
          <t>task_effort</t>
        </is>
      </c>
      <c r="I17" s="14">
        <f>IF(tblCapacityInputs[[#This Row],[capacity_input_id]]="","",IFERROR(IF(LEFT(tblCapacityInputs[[#This Row],[workload_component_id]],3)="TSK",INDEX(tblTasks[planned_hours],MATCH(tblCapacityInputs[[#This Row],[workload_component_id]],tblTasks[task_id],0))*1,IF(LEFT(tblCapacityInputs[[#This Row],[workload_component_id]],3)="PHS",SUMIFS(tblTasks[planned_hours],tblTasks[phase_id],tblCapacityInputs[[#This Row],[workload_component_id]]),"component_not_found")),"component_not_found"))</f>
        <v/>
      </c>
      <c r="J17" s="14">
        <f>IF(tblCapacityInputs[[#This Row],[capacity_input_id]]="","",IFERROR(IF(LEFT(tblCapacityInputs[[#This Row],[workload_component_id]],3)="TSK",INDEX(tblTasks[actual_hours],MATCH(tblCapacityInputs[[#This Row],[workload_component_id]],tblTasks[task_id],0))*1,IF(LEFT(tblCapacityInputs[[#This Row],[workload_component_id]],3)="PHS",SUMIFS(tblTasks[actual_hours],tblTasks[phase_id],tblCapacityInputs[[#This Row],[workload_component_id]]),"component_not_found")),"component_not_found"))</f>
        <v/>
      </c>
      <c r="K17" s="7" t="inlineStr">
        <is>
          <t>hours</t>
        </is>
      </c>
      <c r="L17" s="7" t="inlineStr">
        <is>
          <t>authoritative_workload</t>
        </is>
      </c>
      <c r="M17" s="7" t="inlineStr">
        <is>
          <t>implementation-operating-system</t>
        </is>
      </c>
      <c r="N17" s="6" t="inlineStr">
        <is>
          <t>9acd25a</t>
        </is>
      </c>
      <c r="O17" s="14">
        <f>IF(tblCapacityInputs[[#This Row],[capacity_input_id]]="","",IFERROR(INDEX(tblProjects[org_stage],MATCH(tblCapacityInputs[[#This Row],[project_id]],tblProjects[project_id],0))&amp;"",""))</f>
        <v/>
      </c>
      <c r="P17" s="14">
        <f>IF(tblCapacityInputs[[#This Row],[capacity_input_id]]="","",AND(NOT(tblCapacityInputs[[#This Row],[duplicate_authoritative_flag]]),ISNUMBER(tblCapacityInputs[[#This Row],[planned_hours]]),ISNUMBER(tblCapacityInputs[[#This Row],[actual_hours]]),tblCapacityInputs[[#This Row],[unit]]="hours",tblCapacityInputs[[#This Row],[project_id]]&lt;&gt;"source_not_found",COUNTIFS(tblLookupEntries[lookup_type],"capacity_inclusion_method",tblLookupEntries[key],tblCapacityInputs[[#This Row],[capacity_inclusion_method]])&gt;0))</f>
        <v/>
      </c>
      <c r="Q17" s="14">
        <f>IF(tblCapacityInputs[[#This Row],[capacity_input_id]]="","",AND(tblCapacityInputs[[#This Row],[capacity_inclusion_method]]="authoritative_workload",COUNTIFS(tblCapacityInputs[workload_component_id],tblCapacityInputs[[#This Row],[workload_component_id]],tblCapacityInputs[capacity_inclusion_method],"authoritative_workload")&gt;1))</f>
        <v/>
      </c>
      <c r="R17" s="14">
        <f>IF(tblCapacityInputs[[#This Row],[capacity_input_id]]="","",IF(AND(tblCapacityInputs[[#This Row],[capacity_inclusion_method]]="authoritative_workload",NOT(tblCapacityInputs[[#This Row],[duplicate_authoritative_flag]]),ISNUMBER(tblCapacityInputs[[#This Row],[planned_hours]])),tblCapacityInputs[[#This Row],[planned_hours]],0))</f>
        <v/>
      </c>
      <c r="S17" s="14">
        <f>IF(tblCapacityInputs[[#This Row],[capacity_input_id]]="","",IF(AND(tblCapacityInputs[[#This Row],[capacity_inclusion_method]]="authoritative_workload",NOT(tblCapacityInputs[[#This Row],[duplicate_authoritative_flag]]),ISNUMBER(tblCapacityInputs[[#This Row],[actual_hours]])),tblCapacityInputs[[#This Row],[actual_hours]],0))</f>
        <v/>
      </c>
    </row>
    <row r="18">
      <c r="A18" s="7" t="inlineStr">
        <is>
          <t>CPI-000014</t>
        </is>
      </c>
      <c r="B18" s="14">
        <f>IF(tblCapacityInputs[[#This Row],[capacity_input_id]]="","",IFERROR(IF(LEFT(tblCapacityInputs[[#This Row],[workload_component_id]],3)="TSK",LEFT(INDEX(tblTasks[planned_due_date],MATCH(tblCapacityInputs[[#This Row],[workload_component_id]],tblTasks[task_id],0))&amp;"",7),LEFT(INDEX(tblPhases[entered_at],MATCH(tblCapacityInputs[[#This Row],[workload_component_id]],tblPhases[phase_id],0))&amp;"",7)),""))</f>
        <v/>
      </c>
      <c r="C18" s="14">
        <f>IF(tblCapacityInputs[[#This Row],[capacity_input_id]]="","",IFERROR(IF(tblCapacityInputs[[#This Row],[source_entity_type]]="task",INDEX(tblTasks[project_id],MATCH(tblCapacityInputs[[#This Row],[source_entity_id]],tblTasks[task_id],0)),IF(tblCapacityInputs[[#This Row],[source_entity_type]]="request",INDEX(tblRequests[project_id],MATCH(tblCapacityInputs[[#This Row],[source_entity_id]],tblRequests[request_id],0)),IF(tblCapacityInputs[[#This Row],[source_entity_type]]="handoff",INDEX(tblHandoffs[project_id],MATCH(tblCapacityInputs[[#This Row],[source_entity_id]],tblHandoffs[handoff_id],0)),IF(tblCapacityInputs[[#This Row],[source_entity_type]]="phase",INDEX(tblPhases[project_id],MATCH(tblCapacityInputs[[#This Row],[source_entity_id]],tblPhases[phase_id],0)),"source_not_found"))))&amp;"","source_not_found"))</f>
        <v/>
      </c>
      <c r="D18" s="7" t="inlineStr">
        <is>
          <t>task</t>
        </is>
      </c>
      <c r="E18" s="7" t="inlineStr">
        <is>
          <t>TSK-000014</t>
        </is>
      </c>
      <c r="F18" s="14">
        <f>IF(tblCapacityInputs[[#This Row],[capacity_input_id]]="","",IFERROR(IF(tblCapacityInputs[[#This Row],[source_entity_type]]="task",INDEX(tblTasks[owner_role_id],MATCH(tblCapacityInputs[[#This Row],[source_entity_id]],tblTasks[task_id],0)),IF(tblCapacityInputs[[#This Row],[source_entity_type]]="request",INDEX(tblRequests[owner_role_id],MATCH(tblCapacityInputs[[#This Row],[source_entity_id]],tblRequests[request_id],0)),IF(tblCapacityInputs[[#This Row],[source_entity_type]]="handoff",INDEX(tblHandoffs[to_role_id],MATCH(tblCapacityInputs[[#This Row],[source_entity_id]],tblHandoffs[handoff_id],0)),IF(tblCapacityInputs[[#This Row],[source_entity_type]]="phase",INDEX(tblPhases[owner_role_id],MATCH(tblCapacityInputs[[#This Row],[source_entity_id]],tblPhases[phase_id],0)),"source_not_found"))))&amp;"","source_not_found"))</f>
        <v/>
      </c>
      <c r="G18" s="7" t="inlineStr">
        <is>
          <t>TSK-000014</t>
        </is>
      </c>
      <c r="H18" s="7" t="inlineStr">
        <is>
          <t>task_effort</t>
        </is>
      </c>
      <c r="I18" s="14">
        <f>IF(tblCapacityInputs[[#This Row],[capacity_input_id]]="","",IFERROR(IF(LEFT(tblCapacityInputs[[#This Row],[workload_component_id]],3)="TSK",INDEX(tblTasks[planned_hours],MATCH(tblCapacityInputs[[#This Row],[workload_component_id]],tblTasks[task_id],0))*1,IF(LEFT(tblCapacityInputs[[#This Row],[workload_component_id]],3)="PHS",SUMIFS(tblTasks[planned_hours],tblTasks[phase_id],tblCapacityInputs[[#This Row],[workload_component_id]]),"component_not_found")),"component_not_found"))</f>
        <v/>
      </c>
      <c r="J18" s="14">
        <f>IF(tblCapacityInputs[[#This Row],[capacity_input_id]]="","",IFERROR(IF(LEFT(tblCapacityInputs[[#This Row],[workload_component_id]],3)="TSK",INDEX(tblTasks[actual_hours],MATCH(tblCapacityInputs[[#This Row],[workload_component_id]],tblTasks[task_id],0))*1,IF(LEFT(tblCapacityInputs[[#This Row],[workload_component_id]],3)="PHS",SUMIFS(tblTasks[actual_hours],tblTasks[phase_id],tblCapacityInputs[[#This Row],[workload_component_id]]),"component_not_found")),"component_not_found"))</f>
        <v/>
      </c>
      <c r="K18" s="7" t="inlineStr">
        <is>
          <t>hours</t>
        </is>
      </c>
      <c r="L18" s="7" t="inlineStr">
        <is>
          <t>authoritative_workload</t>
        </is>
      </c>
      <c r="M18" s="7" t="inlineStr">
        <is>
          <t>implementation-operating-system</t>
        </is>
      </c>
      <c r="N18" s="6" t="inlineStr">
        <is>
          <t>9acd25a</t>
        </is>
      </c>
      <c r="O18" s="14">
        <f>IF(tblCapacityInputs[[#This Row],[capacity_input_id]]="","",IFERROR(INDEX(tblProjects[org_stage],MATCH(tblCapacityInputs[[#This Row],[project_id]],tblProjects[project_id],0))&amp;"",""))</f>
        <v/>
      </c>
      <c r="P18" s="14">
        <f>IF(tblCapacityInputs[[#This Row],[capacity_input_id]]="","",AND(NOT(tblCapacityInputs[[#This Row],[duplicate_authoritative_flag]]),ISNUMBER(tblCapacityInputs[[#This Row],[planned_hours]]),ISNUMBER(tblCapacityInputs[[#This Row],[actual_hours]]),tblCapacityInputs[[#This Row],[unit]]="hours",tblCapacityInputs[[#This Row],[project_id]]&lt;&gt;"source_not_found",COUNTIFS(tblLookupEntries[lookup_type],"capacity_inclusion_method",tblLookupEntries[key],tblCapacityInputs[[#This Row],[capacity_inclusion_method]])&gt;0))</f>
        <v/>
      </c>
      <c r="Q18" s="14">
        <f>IF(tblCapacityInputs[[#This Row],[capacity_input_id]]="","",AND(tblCapacityInputs[[#This Row],[capacity_inclusion_method]]="authoritative_workload",COUNTIFS(tblCapacityInputs[workload_component_id],tblCapacityInputs[[#This Row],[workload_component_id]],tblCapacityInputs[capacity_inclusion_method],"authoritative_workload")&gt;1))</f>
        <v/>
      </c>
      <c r="R18" s="14">
        <f>IF(tblCapacityInputs[[#This Row],[capacity_input_id]]="","",IF(AND(tblCapacityInputs[[#This Row],[capacity_inclusion_method]]="authoritative_workload",NOT(tblCapacityInputs[[#This Row],[duplicate_authoritative_flag]]),ISNUMBER(tblCapacityInputs[[#This Row],[planned_hours]])),tblCapacityInputs[[#This Row],[planned_hours]],0))</f>
        <v/>
      </c>
      <c r="S18" s="14">
        <f>IF(tblCapacityInputs[[#This Row],[capacity_input_id]]="","",IF(AND(tblCapacityInputs[[#This Row],[capacity_inclusion_method]]="authoritative_workload",NOT(tblCapacityInputs[[#This Row],[duplicate_authoritative_flag]]),ISNUMBER(tblCapacityInputs[[#This Row],[actual_hours]])),tblCapacityInputs[[#This Row],[actual_hours]],0))</f>
        <v/>
      </c>
    </row>
    <row r="19">
      <c r="A19" s="7" t="inlineStr">
        <is>
          <t>CPI-000015</t>
        </is>
      </c>
      <c r="B19" s="14">
        <f>IF(tblCapacityInputs[[#This Row],[capacity_input_id]]="","",IFERROR(IF(LEFT(tblCapacityInputs[[#This Row],[workload_component_id]],3)="TSK",LEFT(INDEX(tblTasks[planned_due_date],MATCH(tblCapacityInputs[[#This Row],[workload_component_id]],tblTasks[task_id],0))&amp;"",7),LEFT(INDEX(tblPhases[entered_at],MATCH(tblCapacityInputs[[#This Row],[workload_component_id]],tblPhases[phase_id],0))&amp;"",7)),""))</f>
        <v/>
      </c>
      <c r="C19" s="14">
        <f>IF(tblCapacityInputs[[#This Row],[capacity_input_id]]="","",IFERROR(IF(tblCapacityInputs[[#This Row],[source_entity_type]]="task",INDEX(tblTasks[project_id],MATCH(tblCapacityInputs[[#This Row],[source_entity_id]],tblTasks[task_id],0)),IF(tblCapacityInputs[[#This Row],[source_entity_type]]="request",INDEX(tblRequests[project_id],MATCH(tblCapacityInputs[[#This Row],[source_entity_id]],tblRequests[request_id],0)),IF(tblCapacityInputs[[#This Row],[source_entity_type]]="handoff",INDEX(tblHandoffs[project_id],MATCH(tblCapacityInputs[[#This Row],[source_entity_id]],tblHandoffs[handoff_id],0)),IF(tblCapacityInputs[[#This Row],[source_entity_type]]="phase",INDEX(tblPhases[project_id],MATCH(tblCapacityInputs[[#This Row],[source_entity_id]],tblPhases[phase_id],0)),"source_not_found"))))&amp;"","source_not_found"))</f>
        <v/>
      </c>
      <c r="D19" s="7" t="inlineStr">
        <is>
          <t>task</t>
        </is>
      </c>
      <c r="E19" s="7" t="inlineStr">
        <is>
          <t>TSK-000015</t>
        </is>
      </c>
      <c r="F19" s="14">
        <f>IF(tblCapacityInputs[[#This Row],[capacity_input_id]]="","",IFERROR(IF(tblCapacityInputs[[#This Row],[source_entity_type]]="task",INDEX(tblTasks[owner_role_id],MATCH(tblCapacityInputs[[#This Row],[source_entity_id]],tblTasks[task_id],0)),IF(tblCapacityInputs[[#This Row],[source_entity_type]]="request",INDEX(tblRequests[owner_role_id],MATCH(tblCapacityInputs[[#This Row],[source_entity_id]],tblRequests[request_id],0)),IF(tblCapacityInputs[[#This Row],[source_entity_type]]="handoff",INDEX(tblHandoffs[to_role_id],MATCH(tblCapacityInputs[[#This Row],[source_entity_id]],tblHandoffs[handoff_id],0)),IF(tblCapacityInputs[[#This Row],[source_entity_type]]="phase",INDEX(tblPhases[owner_role_id],MATCH(tblCapacityInputs[[#This Row],[source_entity_id]],tblPhases[phase_id],0)),"source_not_found"))))&amp;"","source_not_found"))</f>
        <v/>
      </c>
      <c r="G19" s="7" t="inlineStr">
        <is>
          <t>TSK-000015</t>
        </is>
      </c>
      <c r="H19" s="7" t="inlineStr">
        <is>
          <t>task_effort</t>
        </is>
      </c>
      <c r="I19" s="14">
        <f>IF(tblCapacityInputs[[#This Row],[capacity_input_id]]="","",IFERROR(IF(LEFT(tblCapacityInputs[[#This Row],[workload_component_id]],3)="TSK",INDEX(tblTasks[planned_hours],MATCH(tblCapacityInputs[[#This Row],[workload_component_id]],tblTasks[task_id],0))*1,IF(LEFT(tblCapacityInputs[[#This Row],[workload_component_id]],3)="PHS",SUMIFS(tblTasks[planned_hours],tblTasks[phase_id],tblCapacityInputs[[#This Row],[workload_component_id]]),"component_not_found")),"component_not_found"))</f>
        <v/>
      </c>
      <c r="J19" s="14">
        <f>IF(tblCapacityInputs[[#This Row],[capacity_input_id]]="","",IFERROR(IF(LEFT(tblCapacityInputs[[#This Row],[workload_component_id]],3)="TSK",INDEX(tblTasks[actual_hours],MATCH(tblCapacityInputs[[#This Row],[workload_component_id]],tblTasks[task_id],0))*1,IF(LEFT(tblCapacityInputs[[#This Row],[workload_component_id]],3)="PHS",SUMIFS(tblTasks[actual_hours],tblTasks[phase_id],tblCapacityInputs[[#This Row],[workload_component_id]]),"component_not_found")),"component_not_found"))</f>
        <v/>
      </c>
      <c r="K19" s="7" t="inlineStr">
        <is>
          <t>hours</t>
        </is>
      </c>
      <c r="L19" s="7" t="inlineStr">
        <is>
          <t>authoritative_workload</t>
        </is>
      </c>
      <c r="M19" s="7" t="inlineStr">
        <is>
          <t>implementation-operating-system</t>
        </is>
      </c>
      <c r="N19" s="6" t="inlineStr">
        <is>
          <t>9acd25a</t>
        </is>
      </c>
      <c r="O19" s="14">
        <f>IF(tblCapacityInputs[[#This Row],[capacity_input_id]]="","",IFERROR(INDEX(tblProjects[org_stage],MATCH(tblCapacityInputs[[#This Row],[project_id]],tblProjects[project_id],0))&amp;"",""))</f>
        <v/>
      </c>
      <c r="P19" s="14">
        <f>IF(tblCapacityInputs[[#This Row],[capacity_input_id]]="","",AND(NOT(tblCapacityInputs[[#This Row],[duplicate_authoritative_flag]]),ISNUMBER(tblCapacityInputs[[#This Row],[planned_hours]]),ISNUMBER(tblCapacityInputs[[#This Row],[actual_hours]]),tblCapacityInputs[[#This Row],[unit]]="hours",tblCapacityInputs[[#This Row],[project_id]]&lt;&gt;"source_not_found",COUNTIFS(tblLookupEntries[lookup_type],"capacity_inclusion_method",tblLookupEntries[key],tblCapacityInputs[[#This Row],[capacity_inclusion_method]])&gt;0))</f>
        <v/>
      </c>
      <c r="Q19" s="14">
        <f>IF(tblCapacityInputs[[#This Row],[capacity_input_id]]="","",AND(tblCapacityInputs[[#This Row],[capacity_inclusion_method]]="authoritative_workload",COUNTIFS(tblCapacityInputs[workload_component_id],tblCapacityInputs[[#This Row],[workload_component_id]],tblCapacityInputs[capacity_inclusion_method],"authoritative_workload")&gt;1))</f>
        <v/>
      </c>
      <c r="R19" s="14">
        <f>IF(tblCapacityInputs[[#This Row],[capacity_input_id]]="","",IF(AND(tblCapacityInputs[[#This Row],[capacity_inclusion_method]]="authoritative_workload",NOT(tblCapacityInputs[[#This Row],[duplicate_authoritative_flag]]),ISNUMBER(tblCapacityInputs[[#This Row],[planned_hours]])),tblCapacityInputs[[#This Row],[planned_hours]],0))</f>
        <v/>
      </c>
      <c r="S19" s="14">
        <f>IF(tblCapacityInputs[[#This Row],[capacity_input_id]]="","",IF(AND(tblCapacityInputs[[#This Row],[capacity_inclusion_method]]="authoritative_workload",NOT(tblCapacityInputs[[#This Row],[duplicate_authoritative_flag]]),ISNUMBER(tblCapacityInputs[[#This Row],[actual_hours]])),tblCapacityInputs[[#This Row],[actual_hours]],0))</f>
        <v/>
      </c>
    </row>
    <row r="20">
      <c r="A20" s="7" t="inlineStr">
        <is>
          <t>CPI-000016</t>
        </is>
      </c>
      <c r="B20" s="14">
        <f>IF(tblCapacityInputs[[#This Row],[capacity_input_id]]="","",IFERROR(IF(LEFT(tblCapacityInputs[[#This Row],[workload_component_id]],3)="TSK",LEFT(INDEX(tblTasks[planned_due_date],MATCH(tblCapacityInputs[[#This Row],[workload_component_id]],tblTasks[task_id],0))&amp;"",7),LEFT(INDEX(tblPhases[entered_at],MATCH(tblCapacityInputs[[#This Row],[workload_component_id]],tblPhases[phase_id],0))&amp;"",7)),""))</f>
        <v/>
      </c>
      <c r="C20" s="14">
        <f>IF(tblCapacityInputs[[#This Row],[capacity_input_id]]="","",IFERROR(IF(tblCapacityInputs[[#This Row],[source_entity_type]]="task",INDEX(tblTasks[project_id],MATCH(tblCapacityInputs[[#This Row],[source_entity_id]],tblTasks[task_id],0)),IF(tblCapacityInputs[[#This Row],[source_entity_type]]="request",INDEX(tblRequests[project_id],MATCH(tblCapacityInputs[[#This Row],[source_entity_id]],tblRequests[request_id],0)),IF(tblCapacityInputs[[#This Row],[source_entity_type]]="handoff",INDEX(tblHandoffs[project_id],MATCH(tblCapacityInputs[[#This Row],[source_entity_id]],tblHandoffs[handoff_id],0)),IF(tblCapacityInputs[[#This Row],[source_entity_type]]="phase",INDEX(tblPhases[project_id],MATCH(tblCapacityInputs[[#This Row],[source_entity_id]],tblPhases[phase_id],0)),"source_not_found"))))&amp;"","source_not_found"))</f>
        <v/>
      </c>
      <c r="D20" s="7" t="inlineStr">
        <is>
          <t>task</t>
        </is>
      </c>
      <c r="E20" s="7" t="inlineStr">
        <is>
          <t>TSK-000016</t>
        </is>
      </c>
      <c r="F20" s="14">
        <f>IF(tblCapacityInputs[[#This Row],[capacity_input_id]]="","",IFERROR(IF(tblCapacityInputs[[#This Row],[source_entity_type]]="task",INDEX(tblTasks[owner_role_id],MATCH(tblCapacityInputs[[#This Row],[source_entity_id]],tblTasks[task_id],0)),IF(tblCapacityInputs[[#This Row],[source_entity_type]]="request",INDEX(tblRequests[owner_role_id],MATCH(tblCapacityInputs[[#This Row],[source_entity_id]],tblRequests[request_id],0)),IF(tblCapacityInputs[[#This Row],[source_entity_type]]="handoff",INDEX(tblHandoffs[to_role_id],MATCH(tblCapacityInputs[[#This Row],[source_entity_id]],tblHandoffs[handoff_id],0)),IF(tblCapacityInputs[[#This Row],[source_entity_type]]="phase",INDEX(tblPhases[owner_role_id],MATCH(tblCapacityInputs[[#This Row],[source_entity_id]],tblPhases[phase_id],0)),"source_not_found"))))&amp;"","source_not_found"))</f>
        <v/>
      </c>
      <c r="G20" s="7" t="inlineStr">
        <is>
          <t>TSK-000016</t>
        </is>
      </c>
      <c r="H20" s="7" t="inlineStr">
        <is>
          <t>task_effort</t>
        </is>
      </c>
      <c r="I20" s="14">
        <f>IF(tblCapacityInputs[[#This Row],[capacity_input_id]]="","",IFERROR(IF(LEFT(tblCapacityInputs[[#This Row],[workload_component_id]],3)="TSK",INDEX(tblTasks[planned_hours],MATCH(tblCapacityInputs[[#This Row],[workload_component_id]],tblTasks[task_id],0))*1,IF(LEFT(tblCapacityInputs[[#This Row],[workload_component_id]],3)="PHS",SUMIFS(tblTasks[planned_hours],tblTasks[phase_id],tblCapacityInputs[[#This Row],[workload_component_id]]),"component_not_found")),"component_not_found"))</f>
        <v/>
      </c>
      <c r="J20" s="14">
        <f>IF(tblCapacityInputs[[#This Row],[capacity_input_id]]="","",IFERROR(IF(LEFT(tblCapacityInputs[[#This Row],[workload_component_id]],3)="TSK",INDEX(tblTasks[actual_hours],MATCH(tblCapacityInputs[[#This Row],[workload_component_id]],tblTasks[task_id],0))*1,IF(LEFT(tblCapacityInputs[[#This Row],[workload_component_id]],3)="PHS",SUMIFS(tblTasks[actual_hours],tblTasks[phase_id],tblCapacityInputs[[#This Row],[workload_component_id]]),"component_not_found")),"component_not_found"))</f>
        <v/>
      </c>
      <c r="K20" s="7" t="inlineStr">
        <is>
          <t>hours</t>
        </is>
      </c>
      <c r="L20" s="7" t="inlineStr">
        <is>
          <t>authoritative_workload</t>
        </is>
      </c>
      <c r="M20" s="7" t="inlineStr">
        <is>
          <t>implementation-operating-system</t>
        </is>
      </c>
      <c r="N20" s="6" t="inlineStr">
        <is>
          <t>9acd25a</t>
        </is>
      </c>
      <c r="O20" s="14">
        <f>IF(tblCapacityInputs[[#This Row],[capacity_input_id]]="","",IFERROR(INDEX(tblProjects[org_stage],MATCH(tblCapacityInputs[[#This Row],[project_id]],tblProjects[project_id],0))&amp;"",""))</f>
        <v/>
      </c>
      <c r="P20" s="14">
        <f>IF(tblCapacityInputs[[#This Row],[capacity_input_id]]="","",AND(NOT(tblCapacityInputs[[#This Row],[duplicate_authoritative_flag]]),ISNUMBER(tblCapacityInputs[[#This Row],[planned_hours]]),ISNUMBER(tblCapacityInputs[[#This Row],[actual_hours]]),tblCapacityInputs[[#This Row],[unit]]="hours",tblCapacityInputs[[#This Row],[project_id]]&lt;&gt;"source_not_found",COUNTIFS(tblLookupEntries[lookup_type],"capacity_inclusion_method",tblLookupEntries[key],tblCapacityInputs[[#This Row],[capacity_inclusion_method]])&gt;0))</f>
        <v/>
      </c>
      <c r="Q20" s="14">
        <f>IF(tblCapacityInputs[[#This Row],[capacity_input_id]]="","",AND(tblCapacityInputs[[#This Row],[capacity_inclusion_method]]="authoritative_workload",COUNTIFS(tblCapacityInputs[workload_component_id],tblCapacityInputs[[#This Row],[workload_component_id]],tblCapacityInputs[capacity_inclusion_method],"authoritative_workload")&gt;1))</f>
        <v/>
      </c>
      <c r="R20" s="14">
        <f>IF(tblCapacityInputs[[#This Row],[capacity_input_id]]="","",IF(AND(tblCapacityInputs[[#This Row],[capacity_inclusion_method]]="authoritative_workload",NOT(tblCapacityInputs[[#This Row],[duplicate_authoritative_flag]]),ISNUMBER(tblCapacityInputs[[#This Row],[planned_hours]])),tblCapacityInputs[[#This Row],[planned_hours]],0))</f>
        <v/>
      </c>
      <c r="S20" s="14">
        <f>IF(tblCapacityInputs[[#This Row],[capacity_input_id]]="","",IF(AND(tblCapacityInputs[[#This Row],[capacity_inclusion_method]]="authoritative_workload",NOT(tblCapacityInputs[[#This Row],[duplicate_authoritative_flag]]),ISNUMBER(tblCapacityInputs[[#This Row],[actual_hours]])),tblCapacityInputs[[#This Row],[actual_hours]],0))</f>
        <v/>
      </c>
    </row>
    <row r="21">
      <c r="A21" s="7" t="inlineStr">
        <is>
          <t>CPI-000017</t>
        </is>
      </c>
      <c r="B21" s="14">
        <f>IF(tblCapacityInputs[[#This Row],[capacity_input_id]]="","",IFERROR(IF(LEFT(tblCapacityInputs[[#This Row],[workload_component_id]],3)="TSK",LEFT(INDEX(tblTasks[planned_due_date],MATCH(tblCapacityInputs[[#This Row],[workload_component_id]],tblTasks[task_id],0))&amp;"",7),LEFT(INDEX(tblPhases[entered_at],MATCH(tblCapacityInputs[[#This Row],[workload_component_id]],tblPhases[phase_id],0))&amp;"",7)),""))</f>
        <v/>
      </c>
      <c r="C21" s="14">
        <f>IF(tblCapacityInputs[[#This Row],[capacity_input_id]]="","",IFERROR(IF(tblCapacityInputs[[#This Row],[source_entity_type]]="task",INDEX(tblTasks[project_id],MATCH(tblCapacityInputs[[#This Row],[source_entity_id]],tblTasks[task_id],0)),IF(tblCapacityInputs[[#This Row],[source_entity_type]]="request",INDEX(tblRequests[project_id],MATCH(tblCapacityInputs[[#This Row],[source_entity_id]],tblRequests[request_id],0)),IF(tblCapacityInputs[[#This Row],[source_entity_type]]="handoff",INDEX(tblHandoffs[project_id],MATCH(tblCapacityInputs[[#This Row],[source_entity_id]],tblHandoffs[handoff_id],0)),IF(tblCapacityInputs[[#This Row],[source_entity_type]]="phase",INDEX(tblPhases[project_id],MATCH(tblCapacityInputs[[#This Row],[source_entity_id]],tblPhases[phase_id],0)),"source_not_found"))))&amp;"","source_not_found"))</f>
        <v/>
      </c>
      <c r="D21" s="7" t="inlineStr">
        <is>
          <t>task</t>
        </is>
      </c>
      <c r="E21" s="7" t="inlineStr">
        <is>
          <t>TSK-000017</t>
        </is>
      </c>
      <c r="F21" s="14">
        <f>IF(tblCapacityInputs[[#This Row],[capacity_input_id]]="","",IFERROR(IF(tblCapacityInputs[[#This Row],[source_entity_type]]="task",INDEX(tblTasks[owner_role_id],MATCH(tblCapacityInputs[[#This Row],[source_entity_id]],tblTasks[task_id],0)),IF(tblCapacityInputs[[#This Row],[source_entity_type]]="request",INDEX(tblRequests[owner_role_id],MATCH(tblCapacityInputs[[#This Row],[source_entity_id]],tblRequests[request_id],0)),IF(tblCapacityInputs[[#This Row],[source_entity_type]]="handoff",INDEX(tblHandoffs[to_role_id],MATCH(tblCapacityInputs[[#This Row],[source_entity_id]],tblHandoffs[handoff_id],0)),IF(tblCapacityInputs[[#This Row],[source_entity_type]]="phase",INDEX(tblPhases[owner_role_id],MATCH(tblCapacityInputs[[#This Row],[source_entity_id]],tblPhases[phase_id],0)),"source_not_found"))))&amp;"","source_not_found"))</f>
        <v/>
      </c>
      <c r="G21" s="7" t="inlineStr">
        <is>
          <t>TSK-000017</t>
        </is>
      </c>
      <c r="H21" s="7" t="inlineStr">
        <is>
          <t>task_effort</t>
        </is>
      </c>
      <c r="I21" s="14">
        <f>IF(tblCapacityInputs[[#This Row],[capacity_input_id]]="","",IFERROR(IF(LEFT(tblCapacityInputs[[#This Row],[workload_component_id]],3)="TSK",INDEX(tblTasks[planned_hours],MATCH(tblCapacityInputs[[#This Row],[workload_component_id]],tblTasks[task_id],0))*1,IF(LEFT(tblCapacityInputs[[#This Row],[workload_component_id]],3)="PHS",SUMIFS(tblTasks[planned_hours],tblTasks[phase_id],tblCapacityInputs[[#This Row],[workload_component_id]]),"component_not_found")),"component_not_found"))</f>
        <v/>
      </c>
      <c r="J21" s="14">
        <f>IF(tblCapacityInputs[[#This Row],[capacity_input_id]]="","",IFERROR(IF(LEFT(tblCapacityInputs[[#This Row],[workload_component_id]],3)="TSK",INDEX(tblTasks[actual_hours],MATCH(tblCapacityInputs[[#This Row],[workload_component_id]],tblTasks[task_id],0))*1,IF(LEFT(tblCapacityInputs[[#This Row],[workload_component_id]],3)="PHS",SUMIFS(tblTasks[actual_hours],tblTasks[phase_id],tblCapacityInputs[[#This Row],[workload_component_id]]),"component_not_found")),"component_not_found"))</f>
        <v/>
      </c>
      <c r="K21" s="7" t="inlineStr">
        <is>
          <t>hours</t>
        </is>
      </c>
      <c r="L21" s="7" t="inlineStr">
        <is>
          <t>authoritative_workload</t>
        </is>
      </c>
      <c r="M21" s="7" t="inlineStr">
        <is>
          <t>implementation-operating-system</t>
        </is>
      </c>
      <c r="N21" s="6" t="inlineStr">
        <is>
          <t>9acd25a</t>
        </is>
      </c>
      <c r="O21" s="14">
        <f>IF(tblCapacityInputs[[#This Row],[capacity_input_id]]="","",IFERROR(INDEX(tblProjects[org_stage],MATCH(tblCapacityInputs[[#This Row],[project_id]],tblProjects[project_id],0))&amp;"",""))</f>
        <v/>
      </c>
      <c r="P21" s="14">
        <f>IF(tblCapacityInputs[[#This Row],[capacity_input_id]]="","",AND(NOT(tblCapacityInputs[[#This Row],[duplicate_authoritative_flag]]),ISNUMBER(tblCapacityInputs[[#This Row],[planned_hours]]),ISNUMBER(tblCapacityInputs[[#This Row],[actual_hours]]),tblCapacityInputs[[#This Row],[unit]]="hours",tblCapacityInputs[[#This Row],[project_id]]&lt;&gt;"source_not_found",COUNTIFS(tblLookupEntries[lookup_type],"capacity_inclusion_method",tblLookupEntries[key],tblCapacityInputs[[#This Row],[capacity_inclusion_method]])&gt;0))</f>
        <v/>
      </c>
      <c r="Q21" s="14">
        <f>IF(tblCapacityInputs[[#This Row],[capacity_input_id]]="","",AND(tblCapacityInputs[[#This Row],[capacity_inclusion_method]]="authoritative_workload",COUNTIFS(tblCapacityInputs[workload_component_id],tblCapacityInputs[[#This Row],[workload_component_id]],tblCapacityInputs[capacity_inclusion_method],"authoritative_workload")&gt;1))</f>
        <v/>
      </c>
      <c r="R21" s="14">
        <f>IF(tblCapacityInputs[[#This Row],[capacity_input_id]]="","",IF(AND(tblCapacityInputs[[#This Row],[capacity_inclusion_method]]="authoritative_workload",NOT(tblCapacityInputs[[#This Row],[duplicate_authoritative_flag]]),ISNUMBER(tblCapacityInputs[[#This Row],[planned_hours]])),tblCapacityInputs[[#This Row],[planned_hours]],0))</f>
        <v/>
      </c>
      <c r="S21" s="14">
        <f>IF(tblCapacityInputs[[#This Row],[capacity_input_id]]="","",IF(AND(tblCapacityInputs[[#This Row],[capacity_inclusion_method]]="authoritative_workload",NOT(tblCapacityInputs[[#This Row],[duplicate_authoritative_flag]]),ISNUMBER(tblCapacityInputs[[#This Row],[actual_hours]])),tblCapacityInputs[[#This Row],[actual_hours]],0))</f>
        <v/>
      </c>
    </row>
    <row r="22">
      <c r="A22" s="7" t="inlineStr">
        <is>
          <t>CPI-000018</t>
        </is>
      </c>
      <c r="B22" s="14">
        <f>IF(tblCapacityInputs[[#This Row],[capacity_input_id]]="","",IFERROR(IF(LEFT(tblCapacityInputs[[#This Row],[workload_component_id]],3)="TSK",LEFT(INDEX(tblTasks[planned_due_date],MATCH(tblCapacityInputs[[#This Row],[workload_component_id]],tblTasks[task_id],0))&amp;"",7),LEFT(INDEX(tblPhases[entered_at],MATCH(tblCapacityInputs[[#This Row],[workload_component_id]],tblPhases[phase_id],0))&amp;"",7)),""))</f>
        <v/>
      </c>
      <c r="C22" s="14">
        <f>IF(tblCapacityInputs[[#This Row],[capacity_input_id]]="","",IFERROR(IF(tblCapacityInputs[[#This Row],[source_entity_type]]="task",INDEX(tblTasks[project_id],MATCH(tblCapacityInputs[[#This Row],[source_entity_id]],tblTasks[task_id],0)),IF(tblCapacityInputs[[#This Row],[source_entity_type]]="request",INDEX(tblRequests[project_id],MATCH(tblCapacityInputs[[#This Row],[source_entity_id]],tblRequests[request_id],0)),IF(tblCapacityInputs[[#This Row],[source_entity_type]]="handoff",INDEX(tblHandoffs[project_id],MATCH(tblCapacityInputs[[#This Row],[source_entity_id]],tblHandoffs[handoff_id],0)),IF(tblCapacityInputs[[#This Row],[source_entity_type]]="phase",INDEX(tblPhases[project_id],MATCH(tblCapacityInputs[[#This Row],[source_entity_id]],tblPhases[phase_id],0)),"source_not_found"))))&amp;"","source_not_found"))</f>
        <v/>
      </c>
      <c r="D22" s="7" t="inlineStr">
        <is>
          <t>task</t>
        </is>
      </c>
      <c r="E22" s="7" t="inlineStr">
        <is>
          <t>TSK-000018</t>
        </is>
      </c>
      <c r="F22" s="14">
        <f>IF(tblCapacityInputs[[#This Row],[capacity_input_id]]="","",IFERROR(IF(tblCapacityInputs[[#This Row],[source_entity_type]]="task",INDEX(tblTasks[owner_role_id],MATCH(tblCapacityInputs[[#This Row],[source_entity_id]],tblTasks[task_id],0)),IF(tblCapacityInputs[[#This Row],[source_entity_type]]="request",INDEX(tblRequests[owner_role_id],MATCH(tblCapacityInputs[[#This Row],[source_entity_id]],tblRequests[request_id],0)),IF(tblCapacityInputs[[#This Row],[source_entity_type]]="handoff",INDEX(tblHandoffs[to_role_id],MATCH(tblCapacityInputs[[#This Row],[source_entity_id]],tblHandoffs[handoff_id],0)),IF(tblCapacityInputs[[#This Row],[source_entity_type]]="phase",INDEX(tblPhases[owner_role_id],MATCH(tblCapacityInputs[[#This Row],[source_entity_id]],tblPhases[phase_id],0)),"source_not_found"))))&amp;"","source_not_found"))</f>
        <v/>
      </c>
      <c r="G22" s="7" t="inlineStr">
        <is>
          <t>TSK-000018</t>
        </is>
      </c>
      <c r="H22" s="7" t="inlineStr">
        <is>
          <t>task_effort</t>
        </is>
      </c>
      <c r="I22" s="14">
        <f>IF(tblCapacityInputs[[#This Row],[capacity_input_id]]="","",IFERROR(IF(LEFT(tblCapacityInputs[[#This Row],[workload_component_id]],3)="TSK",INDEX(tblTasks[planned_hours],MATCH(tblCapacityInputs[[#This Row],[workload_component_id]],tblTasks[task_id],0))*1,IF(LEFT(tblCapacityInputs[[#This Row],[workload_component_id]],3)="PHS",SUMIFS(tblTasks[planned_hours],tblTasks[phase_id],tblCapacityInputs[[#This Row],[workload_component_id]]),"component_not_found")),"component_not_found"))</f>
        <v/>
      </c>
      <c r="J22" s="14">
        <f>IF(tblCapacityInputs[[#This Row],[capacity_input_id]]="","",IFERROR(IF(LEFT(tblCapacityInputs[[#This Row],[workload_component_id]],3)="TSK",INDEX(tblTasks[actual_hours],MATCH(tblCapacityInputs[[#This Row],[workload_component_id]],tblTasks[task_id],0))*1,IF(LEFT(tblCapacityInputs[[#This Row],[workload_component_id]],3)="PHS",SUMIFS(tblTasks[actual_hours],tblTasks[phase_id],tblCapacityInputs[[#This Row],[workload_component_id]]),"component_not_found")),"component_not_found"))</f>
        <v/>
      </c>
      <c r="K22" s="7" t="inlineStr">
        <is>
          <t>hours</t>
        </is>
      </c>
      <c r="L22" s="7" t="inlineStr">
        <is>
          <t>authoritative_workload</t>
        </is>
      </c>
      <c r="M22" s="7" t="inlineStr">
        <is>
          <t>implementation-operating-system</t>
        </is>
      </c>
      <c r="N22" s="6" t="inlineStr">
        <is>
          <t>9acd25a</t>
        </is>
      </c>
      <c r="O22" s="14">
        <f>IF(tblCapacityInputs[[#This Row],[capacity_input_id]]="","",IFERROR(INDEX(tblProjects[org_stage],MATCH(tblCapacityInputs[[#This Row],[project_id]],tblProjects[project_id],0))&amp;"",""))</f>
        <v/>
      </c>
      <c r="P22" s="14">
        <f>IF(tblCapacityInputs[[#This Row],[capacity_input_id]]="","",AND(NOT(tblCapacityInputs[[#This Row],[duplicate_authoritative_flag]]),ISNUMBER(tblCapacityInputs[[#This Row],[planned_hours]]),ISNUMBER(tblCapacityInputs[[#This Row],[actual_hours]]),tblCapacityInputs[[#This Row],[unit]]="hours",tblCapacityInputs[[#This Row],[project_id]]&lt;&gt;"source_not_found",COUNTIFS(tblLookupEntries[lookup_type],"capacity_inclusion_method",tblLookupEntries[key],tblCapacityInputs[[#This Row],[capacity_inclusion_method]])&gt;0))</f>
        <v/>
      </c>
      <c r="Q22" s="14">
        <f>IF(tblCapacityInputs[[#This Row],[capacity_input_id]]="","",AND(tblCapacityInputs[[#This Row],[capacity_inclusion_method]]="authoritative_workload",COUNTIFS(tblCapacityInputs[workload_component_id],tblCapacityInputs[[#This Row],[workload_component_id]],tblCapacityInputs[capacity_inclusion_method],"authoritative_workload")&gt;1))</f>
        <v/>
      </c>
      <c r="R22" s="14">
        <f>IF(tblCapacityInputs[[#This Row],[capacity_input_id]]="","",IF(AND(tblCapacityInputs[[#This Row],[capacity_inclusion_method]]="authoritative_workload",NOT(tblCapacityInputs[[#This Row],[duplicate_authoritative_flag]]),ISNUMBER(tblCapacityInputs[[#This Row],[planned_hours]])),tblCapacityInputs[[#This Row],[planned_hours]],0))</f>
        <v/>
      </c>
      <c r="S22" s="14">
        <f>IF(tblCapacityInputs[[#This Row],[capacity_input_id]]="","",IF(AND(tblCapacityInputs[[#This Row],[capacity_inclusion_method]]="authoritative_workload",NOT(tblCapacityInputs[[#This Row],[duplicate_authoritative_flag]]),ISNUMBER(tblCapacityInputs[[#This Row],[actual_hours]])),tblCapacityInputs[[#This Row],[actual_hours]],0))</f>
        <v/>
      </c>
    </row>
    <row r="23">
      <c r="A23" s="7" t="inlineStr">
        <is>
          <t>CPI-000019</t>
        </is>
      </c>
      <c r="B23" s="14">
        <f>IF(tblCapacityInputs[[#This Row],[capacity_input_id]]="","",IFERROR(IF(LEFT(tblCapacityInputs[[#This Row],[workload_component_id]],3)="TSK",LEFT(INDEX(tblTasks[planned_due_date],MATCH(tblCapacityInputs[[#This Row],[workload_component_id]],tblTasks[task_id],0))&amp;"",7),LEFT(INDEX(tblPhases[entered_at],MATCH(tblCapacityInputs[[#This Row],[workload_component_id]],tblPhases[phase_id],0))&amp;"",7)),""))</f>
        <v/>
      </c>
      <c r="C23" s="14">
        <f>IF(tblCapacityInputs[[#This Row],[capacity_input_id]]="","",IFERROR(IF(tblCapacityInputs[[#This Row],[source_entity_type]]="task",INDEX(tblTasks[project_id],MATCH(tblCapacityInputs[[#This Row],[source_entity_id]],tblTasks[task_id],0)),IF(tblCapacityInputs[[#This Row],[source_entity_type]]="request",INDEX(tblRequests[project_id],MATCH(tblCapacityInputs[[#This Row],[source_entity_id]],tblRequests[request_id],0)),IF(tblCapacityInputs[[#This Row],[source_entity_type]]="handoff",INDEX(tblHandoffs[project_id],MATCH(tblCapacityInputs[[#This Row],[source_entity_id]],tblHandoffs[handoff_id],0)),IF(tblCapacityInputs[[#This Row],[source_entity_type]]="phase",INDEX(tblPhases[project_id],MATCH(tblCapacityInputs[[#This Row],[source_entity_id]],tblPhases[phase_id],0)),"source_not_found"))))&amp;"","source_not_found"))</f>
        <v/>
      </c>
      <c r="D23" s="7" t="inlineStr">
        <is>
          <t>task</t>
        </is>
      </c>
      <c r="E23" s="7" t="inlineStr">
        <is>
          <t>TSK-000019</t>
        </is>
      </c>
      <c r="F23" s="14">
        <f>IF(tblCapacityInputs[[#This Row],[capacity_input_id]]="","",IFERROR(IF(tblCapacityInputs[[#This Row],[source_entity_type]]="task",INDEX(tblTasks[owner_role_id],MATCH(tblCapacityInputs[[#This Row],[source_entity_id]],tblTasks[task_id],0)),IF(tblCapacityInputs[[#This Row],[source_entity_type]]="request",INDEX(tblRequests[owner_role_id],MATCH(tblCapacityInputs[[#This Row],[source_entity_id]],tblRequests[request_id],0)),IF(tblCapacityInputs[[#This Row],[source_entity_type]]="handoff",INDEX(tblHandoffs[to_role_id],MATCH(tblCapacityInputs[[#This Row],[source_entity_id]],tblHandoffs[handoff_id],0)),IF(tblCapacityInputs[[#This Row],[source_entity_type]]="phase",INDEX(tblPhases[owner_role_id],MATCH(tblCapacityInputs[[#This Row],[source_entity_id]],tblPhases[phase_id],0)),"source_not_found"))))&amp;"","source_not_found"))</f>
        <v/>
      </c>
      <c r="G23" s="7" t="inlineStr">
        <is>
          <t>TSK-000019</t>
        </is>
      </c>
      <c r="H23" s="7" t="inlineStr">
        <is>
          <t>task_effort</t>
        </is>
      </c>
      <c r="I23" s="14">
        <f>IF(tblCapacityInputs[[#This Row],[capacity_input_id]]="","",IFERROR(IF(LEFT(tblCapacityInputs[[#This Row],[workload_component_id]],3)="TSK",INDEX(tblTasks[planned_hours],MATCH(tblCapacityInputs[[#This Row],[workload_component_id]],tblTasks[task_id],0))*1,IF(LEFT(tblCapacityInputs[[#This Row],[workload_component_id]],3)="PHS",SUMIFS(tblTasks[planned_hours],tblTasks[phase_id],tblCapacityInputs[[#This Row],[workload_component_id]]),"component_not_found")),"component_not_found"))</f>
        <v/>
      </c>
      <c r="J23" s="14">
        <f>IF(tblCapacityInputs[[#This Row],[capacity_input_id]]="","",IFERROR(IF(LEFT(tblCapacityInputs[[#This Row],[workload_component_id]],3)="TSK",INDEX(tblTasks[actual_hours],MATCH(tblCapacityInputs[[#This Row],[workload_component_id]],tblTasks[task_id],0))*1,IF(LEFT(tblCapacityInputs[[#This Row],[workload_component_id]],3)="PHS",SUMIFS(tblTasks[actual_hours],tblTasks[phase_id],tblCapacityInputs[[#This Row],[workload_component_id]]),"component_not_found")),"component_not_found"))</f>
        <v/>
      </c>
      <c r="K23" s="7" t="inlineStr">
        <is>
          <t>hours</t>
        </is>
      </c>
      <c r="L23" s="7" t="inlineStr">
        <is>
          <t>authoritative_workload</t>
        </is>
      </c>
      <c r="M23" s="7" t="inlineStr">
        <is>
          <t>implementation-operating-system</t>
        </is>
      </c>
      <c r="N23" s="6" t="inlineStr">
        <is>
          <t>9acd25a</t>
        </is>
      </c>
      <c r="O23" s="14">
        <f>IF(tblCapacityInputs[[#This Row],[capacity_input_id]]="","",IFERROR(INDEX(tblProjects[org_stage],MATCH(tblCapacityInputs[[#This Row],[project_id]],tblProjects[project_id],0))&amp;"",""))</f>
        <v/>
      </c>
      <c r="P23" s="14">
        <f>IF(tblCapacityInputs[[#This Row],[capacity_input_id]]="","",AND(NOT(tblCapacityInputs[[#This Row],[duplicate_authoritative_flag]]),ISNUMBER(tblCapacityInputs[[#This Row],[planned_hours]]),ISNUMBER(tblCapacityInputs[[#This Row],[actual_hours]]),tblCapacityInputs[[#This Row],[unit]]="hours",tblCapacityInputs[[#This Row],[project_id]]&lt;&gt;"source_not_found",COUNTIFS(tblLookupEntries[lookup_type],"capacity_inclusion_method",tblLookupEntries[key],tblCapacityInputs[[#This Row],[capacity_inclusion_method]])&gt;0))</f>
        <v/>
      </c>
      <c r="Q23" s="14">
        <f>IF(tblCapacityInputs[[#This Row],[capacity_input_id]]="","",AND(tblCapacityInputs[[#This Row],[capacity_inclusion_method]]="authoritative_workload",COUNTIFS(tblCapacityInputs[workload_component_id],tblCapacityInputs[[#This Row],[workload_component_id]],tblCapacityInputs[capacity_inclusion_method],"authoritative_workload")&gt;1))</f>
        <v/>
      </c>
      <c r="R23" s="14">
        <f>IF(tblCapacityInputs[[#This Row],[capacity_input_id]]="","",IF(AND(tblCapacityInputs[[#This Row],[capacity_inclusion_method]]="authoritative_workload",NOT(tblCapacityInputs[[#This Row],[duplicate_authoritative_flag]]),ISNUMBER(tblCapacityInputs[[#This Row],[planned_hours]])),tblCapacityInputs[[#This Row],[planned_hours]],0))</f>
        <v/>
      </c>
      <c r="S23" s="14">
        <f>IF(tblCapacityInputs[[#This Row],[capacity_input_id]]="","",IF(AND(tblCapacityInputs[[#This Row],[capacity_inclusion_method]]="authoritative_workload",NOT(tblCapacityInputs[[#This Row],[duplicate_authoritative_flag]]),ISNUMBER(tblCapacityInputs[[#This Row],[actual_hours]])),tblCapacityInputs[[#This Row],[actual_hours]],0))</f>
        <v/>
      </c>
    </row>
    <row r="24">
      <c r="A24" s="7" t="inlineStr">
        <is>
          <t>CPI-000020</t>
        </is>
      </c>
      <c r="B24" s="14">
        <f>IF(tblCapacityInputs[[#This Row],[capacity_input_id]]="","",IFERROR(IF(LEFT(tblCapacityInputs[[#This Row],[workload_component_id]],3)="TSK",LEFT(INDEX(tblTasks[planned_due_date],MATCH(tblCapacityInputs[[#This Row],[workload_component_id]],tblTasks[task_id],0))&amp;"",7),LEFT(INDEX(tblPhases[entered_at],MATCH(tblCapacityInputs[[#This Row],[workload_component_id]],tblPhases[phase_id],0))&amp;"",7)),""))</f>
        <v/>
      </c>
      <c r="C24" s="14">
        <f>IF(tblCapacityInputs[[#This Row],[capacity_input_id]]="","",IFERROR(IF(tblCapacityInputs[[#This Row],[source_entity_type]]="task",INDEX(tblTasks[project_id],MATCH(tblCapacityInputs[[#This Row],[source_entity_id]],tblTasks[task_id],0)),IF(tblCapacityInputs[[#This Row],[source_entity_type]]="request",INDEX(tblRequests[project_id],MATCH(tblCapacityInputs[[#This Row],[source_entity_id]],tblRequests[request_id],0)),IF(tblCapacityInputs[[#This Row],[source_entity_type]]="handoff",INDEX(tblHandoffs[project_id],MATCH(tblCapacityInputs[[#This Row],[source_entity_id]],tblHandoffs[handoff_id],0)),IF(tblCapacityInputs[[#This Row],[source_entity_type]]="phase",INDEX(tblPhases[project_id],MATCH(tblCapacityInputs[[#This Row],[source_entity_id]],tblPhases[phase_id],0)),"source_not_found"))))&amp;"","source_not_found"))</f>
        <v/>
      </c>
      <c r="D24" s="7" t="inlineStr">
        <is>
          <t>task</t>
        </is>
      </c>
      <c r="E24" s="7" t="inlineStr">
        <is>
          <t>TSK-000020</t>
        </is>
      </c>
      <c r="F24" s="14">
        <f>IF(tblCapacityInputs[[#This Row],[capacity_input_id]]="","",IFERROR(IF(tblCapacityInputs[[#This Row],[source_entity_type]]="task",INDEX(tblTasks[owner_role_id],MATCH(tblCapacityInputs[[#This Row],[source_entity_id]],tblTasks[task_id],0)),IF(tblCapacityInputs[[#This Row],[source_entity_type]]="request",INDEX(tblRequests[owner_role_id],MATCH(tblCapacityInputs[[#This Row],[source_entity_id]],tblRequests[request_id],0)),IF(tblCapacityInputs[[#This Row],[source_entity_type]]="handoff",INDEX(tblHandoffs[to_role_id],MATCH(tblCapacityInputs[[#This Row],[source_entity_id]],tblHandoffs[handoff_id],0)),IF(tblCapacityInputs[[#This Row],[source_entity_type]]="phase",INDEX(tblPhases[owner_role_id],MATCH(tblCapacityInputs[[#This Row],[source_entity_id]],tblPhases[phase_id],0)),"source_not_found"))))&amp;"","source_not_found"))</f>
        <v/>
      </c>
      <c r="G24" s="7" t="inlineStr">
        <is>
          <t>TSK-000020</t>
        </is>
      </c>
      <c r="H24" s="7" t="inlineStr">
        <is>
          <t>task_effort</t>
        </is>
      </c>
      <c r="I24" s="14">
        <f>IF(tblCapacityInputs[[#This Row],[capacity_input_id]]="","",IFERROR(IF(LEFT(tblCapacityInputs[[#This Row],[workload_component_id]],3)="TSK",INDEX(tblTasks[planned_hours],MATCH(tblCapacityInputs[[#This Row],[workload_component_id]],tblTasks[task_id],0))*1,IF(LEFT(tblCapacityInputs[[#This Row],[workload_component_id]],3)="PHS",SUMIFS(tblTasks[planned_hours],tblTasks[phase_id],tblCapacityInputs[[#This Row],[workload_component_id]]),"component_not_found")),"component_not_found"))</f>
        <v/>
      </c>
      <c r="J24" s="14">
        <f>IF(tblCapacityInputs[[#This Row],[capacity_input_id]]="","",IFERROR(IF(LEFT(tblCapacityInputs[[#This Row],[workload_component_id]],3)="TSK",INDEX(tblTasks[actual_hours],MATCH(tblCapacityInputs[[#This Row],[workload_component_id]],tblTasks[task_id],0))*1,IF(LEFT(tblCapacityInputs[[#This Row],[workload_component_id]],3)="PHS",SUMIFS(tblTasks[actual_hours],tblTasks[phase_id],tblCapacityInputs[[#This Row],[workload_component_id]]),"component_not_found")),"component_not_found"))</f>
        <v/>
      </c>
      <c r="K24" s="7" t="inlineStr">
        <is>
          <t>hours</t>
        </is>
      </c>
      <c r="L24" s="7" t="inlineStr">
        <is>
          <t>authoritative_workload</t>
        </is>
      </c>
      <c r="M24" s="7" t="inlineStr">
        <is>
          <t>implementation-operating-system</t>
        </is>
      </c>
      <c r="N24" s="6" t="inlineStr">
        <is>
          <t>9acd25a</t>
        </is>
      </c>
      <c r="O24" s="14">
        <f>IF(tblCapacityInputs[[#This Row],[capacity_input_id]]="","",IFERROR(INDEX(tblProjects[org_stage],MATCH(tblCapacityInputs[[#This Row],[project_id]],tblProjects[project_id],0))&amp;"",""))</f>
        <v/>
      </c>
      <c r="P24" s="14">
        <f>IF(tblCapacityInputs[[#This Row],[capacity_input_id]]="","",AND(NOT(tblCapacityInputs[[#This Row],[duplicate_authoritative_flag]]),ISNUMBER(tblCapacityInputs[[#This Row],[planned_hours]]),ISNUMBER(tblCapacityInputs[[#This Row],[actual_hours]]),tblCapacityInputs[[#This Row],[unit]]="hours",tblCapacityInputs[[#This Row],[project_id]]&lt;&gt;"source_not_found",COUNTIFS(tblLookupEntries[lookup_type],"capacity_inclusion_method",tblLookupEntries[key],tblCapacityInputs[[#This Row],[capacity_inclusion_method]])&gt;0))</f>
        <v/>
      </c>
      <c r="Q24" s="14">
        <f>IF(tblCapacityInputs[[#This Row],[capacity_input_id]]="","",AND(tblCapacityInputs[[#This Row],[capacity_inclusion_method]]="authoritative_workload",COUNTIFS(tblCapacityInputs[workload_component_id],tblCapacityInputs[[#This Row],[workload_component_id]],tblCapacityInputs[capacity_inclusion_method],"authoritative_workload")&gt;1))</f>
        <v/>
      </c>
      <c r="R24" s="14">
        <f>IF(tblCapacityInputs[[#This Row],[capacity_input_id]]="","",IF(AND(tblCapacityInputs[[#This Row],[capacity_inclusion_method]]="authoritative_workload",NOT(tblCapacityInputs[[#This Row],[duplicate_authoritative_flag]]),ISNUMBER(tblCapacityInputs[[#This Row],[planned_hours]])),tblCapacityInputs[[#This Row],[planned_hours]],0))</f>
        <v/>
      </c>
      <c r="S24" s="14">
        <f>IF(tblCapacityInputs[[#This Row],[capacity_input_id]]="","",IF(AND(tblCapacityInputs[[#This Row],[capacity_inclusion_method]]="authoritative_workload",NOT(tblCapacityInputs[[#This Row],[duplicate_authoritative_flag]]),ISNUMBER(tblCapacityInputs[[#This Row],[actual_hours]])),tblCapacityInputs[[#This Row],[actual_hours]],0))</f>
        <v/>
      </c>
    </row>
    <row r="25">
      <c r="A25" s="7" t="inlineStr">
        <is>
          <t>CPI-000021</t>
        </is>
      </c>
      <c r="B25" s="14">
        <f>IF(tblCapacityInputs[[#This Row],[capacity_input_id]]="","",IFERROR(IF(LEFT(tblCapacityInputs[[#This Row],[workload_component_id]],3)="TSK",LEFT(INDEX(tblTasks[planned_due_date],MATCH(tblCapacityInputs[[#This Row],[workload_component_id]],tblTasks[task_id],0))&amp;"",7),LEFT(INDEX(tblPhases[entered_at],MATCH(tblCapacityInputs[[#This Row],[workload_component_id]],tblPhases[phase_id],0))&amp;"",7)),""))</f>
        <v/>
      </c>
      <c r="C25" s="14">
        <f>IF(tblCapacityInputs[[#This Row],[capacity_input_id]]="","",IFERROR(IF(tblCapacityInputs[[#This Row],[source_entity_type]]="task",INDEX(tblTasks[project_id],MATCH(tblCapacityInputs[[#This Row],[source_entity_id]],tblTasks[task_id],0)),IF(tblCapacityInputs[[#This Row],[source_entity_type]]="request",INDEX(tblRequests[project_id],MATCH(tblCapacityInputs[[#This Row],[source_entity_id]],tblRequests[request_id],0)),IF(tblCapacityInputs[[#This Row],[source_entity_type]]="handoff",INDEX(tblHandoffs[project_id],MATCH(tblCapacityInputs[[#This Row],[source_entity_id]],tblHandoffs[handoff_id],0)),IF(tblCapacityInputs[[#This Row],[source_entity_type]]="phase",INDEX(tblPhases[project_id],MATCH(tblCapacityInputs[[#This Row],[source_entity_id]],tblPhases[phase_id],0)),"source_not_found"))))&amp;"","source_not_found"))</f>
        <v/>
      </c>
      <c r="D25" s="7" t="inlineStr">
        <is>
          <t>task</t>
        </is>
      </c>
      <c r="E25" s="7" t="inlineStr">
        <is>
          <t>TSK-000021</t>
        </is>
      </c>
      <c r="F25" s="14">
        <f>IF(tblCapacityInputs[[#This Row],[capacity_input_id]]="","",IFERROR(IF(tblCapacityInputs[[#This Row],[source_entity_type]]="task",INDEX(tblTasks[owner_role_id],MATCH(tblCapacityInputs[[#This Row],[source_entity_id]],tblTasks[task_id],0)),IF(tblCapacityInputs[[#This Row],[source_entity_type]]="request",INDEX(tblRequests[owner_role_id],MATCH(tblCapacityInputs[[#This Row],[source_entity_id]],tblRequests[request_id],0)),IF(tblCapacityInputs[[#This Row],[source_entity_type]]="handoff",INDEX(tblHandoffs[to_role_id],MATCH(tblCapacityInputs[[#This Row],[source_entity_id]],tblHandoffs[handoff_id],0)),IF(tblCapacityInputs[[#This Row],[source_entity_type]]="phase",INDEX(tblPhases[owner_role_id],MATCH(tblCapacityInputs[[#This Row],[source_entity_id]],tblPhases[phase_id],0)),"source_not_found"))))&amp;"","source_not_found"))</f>
        <v/>
      </c>
      <c r="G25" s="7" t="inlineStr">
        <is>
          <t>TSK-000021</t>
        </is>
      </c>
      <c r="H25" s="7" t="inlineStr">
        <is>
          <t>task_effort</t>
        </is>
      </c>
      <c r="I25" s="14">
        <f>IF(tblCapacityInputs[[#This Row],[capacity_input_id]]="","",IFERROR(IF(LEFT(tblCapacityInputs[[#This Row],[workload_component_id]],3)="TSK",INDEX(tblTasks[planned_hours],MATCH(tblCapacityInputs[[#This Row],[workload_component_id]],tblTasks[task_id],0))*1,IF(LEFT(tblCapacityInputs[[#This Row],[workload_component_id]],3)="PHS",SUMIFS(tblTasks[planned_hours],tblTasks[phase_id],tblCapacityInputs[[#This Row],[workload_component_id]]),"component_not_found")),"component_not_found"))</f>
        <v/>
      </c>
      <c r="J25" s="14">
        <f>IF(tblCapacityInputs[[#This Row],[capacity_input_id]]="","",IFERROR(IF(LEFT(tblCapacityInputs[[#This Row],[workload_component_id]],3)="TSK",INDEX(tblTasks[actual_hours],MATCH(tblCapacityInputs[[#This Row],[workload_component_id]],tblTasks[task_id],0))*1,IF(LEFT(tblCapacityInputs[[#This Row],[workload_component_id]],3)="PHS",SUMIFS(tblTasks[actual_hours],tblTasks[phase_id],tblCapacityInputs[[#This Row],[workload_component_id]]),"component_not_found")),"component_not_found"))</f>
        <v/>
      </c>
      <c r="K25" s="7" t="inlineStr">
        <is>
          <t>hours</t>
        </is>
      </c>
      <c r="L25" s="7" t="inlineStr">
        <is>
          <t>authoritative_workload</t>
        </is>
      </c>
      <c r="M25" s="7" t="inlineStr">
        <is>
          <t>implementation-operating-system</t>
        </is>
      </c>
      <c r="N25" s="6" t="inlineStr">
        <is>
          <t>9acd25a</t>
        </is>
      </c>
      <c r="O25" s="14">
        <f>IF(tblCapacityInputs[[#This Row],[capacity_input_id]]="","",IFERROR(INDEX(tblProjects[org_stage],MATCH(tblCapacityInputs[[#This Row],[project_id]],tblProjects[project_id],0))&amp;"",""))</f>
        <v/>
      </c>
      <c r="P25" s="14">
        <f>IF(tblCapacityInputs[[#This Row],[capacity_input_id]]="","",AND(NOT(tblCapacityInputs[[#This Row],[duplicate_authoritative_flag]]),ISNUMBER(tblCapacityInputs[[#This Row],[planned_hours]]),ISNUMBER(tblCapacityInputs[[#This Row],[actual_hours]]),tblCapacityInputs[[#This Row],[unit]]="hours",tblCapacityInputs[[#This Row],[project_id]]&lt;&gt;"source_not_found",COUNTIFS(tblLookupEntries[lookup_type],"capacity_inclusion_method",tblLookupEntries[key],tblCapacityInputs[[#This Row],[capacity_inclusion_method]])&gt;0))</f>
        <v/>
      </c>
      <c r="Q25" s="14">
        <f>IF(tblCapacityInputs[[#This Row],[capacity_input_id]]="","",AND(tblCapacityInputs[[#This Row],[capacity_inclusion_method]]="authoritative_workload",COUNTIFS(tblCapacityInputs[workload_component_id],tblCapacityInputs[[#This Row],[workload_component_id]],tblCapacityInputs[capacity_inclusion_method],"authoritative_workload")&gt;1))</f>
        <v/>
      </c>
      <c r="R25" s="14">
        <f>IF(tblCapacityInputs[[#This Row],[capacity_input_id]]="","",IF(AND(tblCapacityInputs[[#This Row],[capacity_inclusion_method]]="authoritative_workload",NOT(tblCapacityInputs[[#This Row],[duplicate_authoritative_flag]]),ISNUMBER(tblCapacityInputs[[#This Row],[planned_hours]])),tblCapacityInputs[[#This Row],[planned_hours]],0))</f>
        <v/>
      </c>
      <c r="S25" s="14">
        <f>IF(tblCapacityInputs[[#This Row],[capacity_input_id]]="","",IF(AND(tblCapacityInputs[[#This Row],[capacity_inclusion_method]]="authoritative_workload",NOT(tblCapacityInputs[[#This Row],[duplicate_authoritative_flag]]),ISNUMBER(tblCapacityInputs[[#This Row],[actual_hours]])),tblCapacityInputs[[#This Row],[actual_hours]],0))</f>
        <v/>
      </c>
    </row>
    <row r="26">
      <c r="A26" s="7" t="inlineStr">
        <is>
          <t>CPI-000022</t>
        </is>
      </c>
      <c r="B26" s="14">
        <f>IF(tblCapacityInputs[[#This Row],[capacity_input_id]]="","",IFERROR(IF(LEFT(tblCapacityInputs[[#This Row],[workload_component_id]],3)="TSK",LEFT(INDEX(tblTasks[planned_due_date],MATCH(tblCapacityInputs[[#This Row],[workload_component_id]],tblTasks[task_id],0))&amp;"",7),LEFT(INDEX(tblPhases[entered_at],MATCH(tblCapacityInputs[[#This Row],[workload_component_id]],tblPhases[phase_id],0))&amp;"",7)),""))</f>
        <v/>
      </c>
      <c r="C26" s="14">
        <f>IF(tblCapacityInputs[[#This Row],[capacity_input_id]]="","",IFERROR(IF(tblCapacityInputs[[#This Row],[source_entity_type]]="task",INDEX(tblTasks[project_id],MATCH(tblCapacityInputs[[#This Row],[source_entity_id]],tblTasks[task_id],0)),IF(tblCapacityInputs[[#This Row],[source_entity_type]]="request",INDEX(tblRequests[project_id],MATCH(tblCapacityInputs[[#This Row],[source_entity_id]],tblRequests[request_id],0)),IF(tblCapacityInputs[[#This Row],[source_entity_type]]="handoff",INDEX(tblHandoffs[project_id],MATCH(tblCapacityInputs[[#This Row],[source_entity_id]],tblHandoffs[handoff_id],0)),IF(tblCapacityInputs[[#This Row],[source_entity_type]]="phase",INDEX(tblPhases[project_id],MATCH(tblCapacityInputs[[#This Row],[source_entity_id]],tblPhases[phase_id],0)),"source_not_found"))))&amp;"","source_not_found"))</f>
        <v/>
      </c>
      <c r="D26" s="7" t="inlineStr">
        <is>
          <t>task</t>
        </is>
      </c>
      <c r="E26" s="7" t="inlineStr">
        <is>
          <t>TSK-000022</t>
        </is>
      </c>
      <c r="F26" s="14">
        <f>IF(tblCapacityInputs[[#This Row],[capacity_input_id]]="","",IFERROR(IF(tblCapacityInputs[[#This Row],[source_entity_type]]="task",INDEX(tblTasks[owner_role_id],MATCH(tblCapacityInputs[[#This Row],[source_entity_id]],tblTasks[task_id],0)),IF(tblCapacityInputs[[#This Row],[source_entity_type]]="request",INDEX(tblRequests[owner_role_id],MATCH(tblCapacityInputs[[#This Row],[source_entity_id]],tblRequests[request_id],0)),IF(tblCapacityInputs[[#This Row],[source_entity_type]]="handoff",INDEX(tblHandoffs[to_role_id],MATCH(tblCapacityInputs[[#This Row],[source_entity_id]],tblHandoffs[handoff_id],0)),IF(tblCapacityInputs[[#This Row],[source_entity_type]]="phase",INDEX(tblPhases[owner_role_id],MATCH(tblCapacityInputs[[#This Row],[source_entity_id]],tblPhases[phase_id],0)),"source_not_found"))))&amp;"","source_not_found"))</f>
        <v/>
      </c>
      <c r="G26" s="7" t="inlineStr">
        <is>
          <t>TSK-000022</t>
        </is>
      </c>
      <c r="H26" s="7" t="inlineStr">
        <is>
          <t>task_effort</t>
        </is>
      </c>
      <c r="I26" s="14">
        <f>IF(tblCapacityInputs[[#This Row],[capacity_input_id]]="","",IFERROR(IF(LEFT(tblCapacityInputs[[#This Row],[workload_component_id]],3)="TSK",INDEX(tblTasks[planned_hours],MATCH(tblCapacityInputs[[#This Row],[workload_component_id]],tblTasks[task_id],0))*1,IF(LEFT(tblCapacityInputs[[#This Row],[workload_component_id]],3)="PHS",SUMIFS(tblTasks[planned_hours],tblTasks[phase_id],tblCapacityInputs[[#This Row],[workload_component_id]]),"component_not_found")),"component_not_found"))</f>
        <v/>
      </c>
      <c r="J26" s="14">
        <f>IF(tblCapacityInputs[[#This Row],[capacity_input_id]]="","",IFERROR(IF(LEFT(tblCapacityInputs[[#This Row],[workload_component_id]],3)="TSK",INDEX(tblTasks[actual_hours],MATCH(tblCapacityInputs[[#This Row],[workload_component_id]],tblTasks[task_id],0))*1,IF(LEFT(tblCapacityInputs[[#This Row],[workload_component_id]],3)="PHS",SUMIFS(tblTasks[actual_hours],tblTasks[phase_id],tblCapacityInputs[[#This Row],[workload_component_id]]),"component_not_found")),"component_not_found"))</f>
        <v/>
      </c>
      <c r="K26" s="7" t="inlineStr">
        <is>
          <t>hours</t>
        </is>
      </c>
      <c r="L26" s="7" t="inlineStr">
        <is>
          <t>authoritative_workload</t>
        </is>
      </c>
      <c r="M26" s="7" t="inlineStr">
        <is>
          <t>implementation-operating-system</t>
        </is>
      </c>
      <c r="N26" s="6" t="inlineStr">
        <is>
          <t>9acd25a</t>
        </is>
      </c>
      <c r="O26" s="14">
        <f>IF(tblCapacityInputs[[#This Row],[capacity_input_id]]="","",IFERROR(INDEX(tblProjects[org_stage],MATCH(tblCapacityInputs[[#This Row],[project_id]],tblProjects[project_id],0))&amp;"",""))</f>
        <v/>
      </c>
      <c r="P26" s="14">
        <f>IF(tblCapacityInputs[[#This Row],[capacity_input_id]]="","",AND(NOT(tblCapacityInputs[[#This Row],[duplicate_authoritative_flag]]),ISNUMBER(tblCapacityInputs[[#This Row],[planned_hours]]),ISNUMBER(tblCapacityInputs[[#This Row],[actual_hours]]),tblCapacityInputs[[#This Row],[unit]]="hours",tblCapacityInputs[[#This Row],[project_id]]&lt;&gt;"source_not_found",COUNTIFS(tblLookupEntries[lookup_type],"capacity_inclusion_method",tblLookupEntries[key],tblCapacityInputs[[#This Row],[capacity_inclusion_method]])&gt;0))</f>
        <v/>
      </c>
      <c r="Q26" s="14">
        <f>IF(tblCapacityInputs[[#This Row],[capacity_input_id]]="","",AND(tblCapacityInputs[[#This Row],[capacity_inclusion_method]]="authoritative_workload",COUNTIFS(tblCapacityInputs[workload_component_id],tblCapacityInputs[[#This Row],[workload_component_id]],tblCapacityInputs[capacity_inclusion_method],"authoritative_workload")&gt;1))</f>
        <v/>
      </c>
      <c r="R26" s="14">
        <f>IF(tblCapacityInputs[[#This Row],[capacity_input_id]]="","",IF(AND(tblCapacityInputs[[#This Row],[capacity_inclusion_method]]="authoritative_workload",NOT(tblCapacityInputs[[#This Row],[duplicate_authoritative_flag]]),ISNUMBER(tblCapacityInputs[[#This Row],[planned_hours]])),tblCapacityInputs[[#This Row],[planned_hours]],0))</f>
        <v/>
      </c>
      <c r="S26" s="14">
        <f>IF(tblCapacityInputs[[#This Row],[capacity_input_id]]="","",IF(AND(tblCapacityInputs[[#This Row],[capacity_inclusion_method]]="authoritative_workload",NOT(tblCapacityInputs[[#This Row],[duplicate_authoritative_flag]]),ISNUMBER(tblCapacityInputs[[#This Row],[actual_hours]])),tblCapacityInputs[[#This Row],[actual_hours]],0))</f>
        <v/>
      </c>
    </row>
    <row r="27">
      <c r="A27" s="7" t="inlineStr">
        <is>
          <t>CPI-000023</t>
        </is>
      </c>
      <c r="B27" s="14">
        <f>IF(tblCapacityInputs[[#This Row],[capacity_input_id]]="","",IFERROR(IF(LEFT(tblCapacityInputs[[#This Row],[workload_component_id]],3)="TSK",LEFT(INDEX(tblTasks[planned_due_date],MATCH(tblCapacityInputs[[#This Row],[workload_component_id]],tblTasks[task_id],0))&amp;"",7),LEFT(INDEX(tblPhases[entered_at],MATCH(tblCapacityInputs[[#This Row],[workload_component_id]],tblPhases[phase_id],0))&amp;"",7)),""))</f>
        <v/>
      </c>
      <c r="C27" s="14">
        <f>IF(tblCapacityInputs[[#This Row],[capacity_input_id]]="","",IFERROR(IF(tblCapacityInputs[[#This Row],[source_entity_type]]="task",INDEX(tblTasks[project_id],MATCH(tblCapacityInputs[[#This Row],[source_entity_id]],tblTasks[task_id],0)),IF(tblCapacityInputs[[#This Row],[source_entity_type]]="request",INDEX(tblRequests[project_id],MATCH(tblCapacityInputs[[#This Row],[source_entity_id]],tblRequests[request_id],0)),IF(tblCapacityInputs[[#This Row],[source_entity_type]]="handoff",INDEX(tblHandoffs[project_id],MATCH(tblCapacityInputs[[#This Row],[source_entity_id]],tblHandoffs[handoff_id],0)),IF(tblCapacityInputs[[#This Row],[source_entity_type]]="phase",INDEX(tblPhases[project_id],MATCH(tblCapacityInputs[[#This Row],[source_entity_id]],tblPhases[phase_id],0)),"source_not_found"))))&amp;"","source_not_found"))</f>
        <v/>
      </c>
      <c r="D27" s="7" t="inlineStr">
        <is>
          <t>task</t>
        </is>
      </c>
      <c r="E27" s="7" t="inlineStr">
        <is>
          <t>TSK-000023</t>
        </is>
      </c>
      <c r="F27" s="14">
        <f>IF(tblCapacityInputs[[#This Row],[capacity_input_id]]="","",IFERROR(IF(tblCapacityInputs[[#This Row],[source_entity_type]]="task",INDEX(tblTasks[owner_role_id],MATCH(tblCapacityInputs[[#This Row],[source_entity_id]],tblTasks[task_id],0)),IF(tblCapacityInputs[[#This Row],[source_entity_type]]="request",INDEX(tblRequests[owner_role_id],MATCH(tblCapacityInputs[[#This Row],[source_entity_id]],tblRequests[request_id],0)),IF(tblCapacityInputs[[#This Row],[source_entity_type]]="handoff",INDEX(tblHandoffs[to_role_id],MATCH(tblCapacityInputs[[#This Row],[source_entity_id]],tblHandoffs[handoff_id],0)),IF(tblCapacityInputs[[#This Row],[source_entity_type]]="phase",INDEX(tblPhases[owner_role_id],MATCH(tblCapacityInputs[[#This Row],[source_entity_id]],tblPhases[phase_id],0)),"source_not_found"))))&amp;"","source_not_found"))</f>
        <v/>
      </c>
      <c r="G27" s="7" t="inlineStr">
        <is>
          <t>TSK-000023</t>
        </is>
      </c>
      <c r="H27" s="7" t="inlineStr">
        <is>
          <t>task_effort</t>
        </is>
      </c>
      <c r="I27" s="14">
        <f>IF(tblCapacityInputs[[#This Row],[capacity_input_id]]="","",IFERROR(IF(LEFT(tblCapacityInputs[[#This Row],[workload_component_id]],3)="TSK",INDEX(tblTasks[planned_hours],MATCH(tblCapacityInputs[[#This Row],[workload_component_id]],tblTasks[task_id],0))*1,IF(LEFT(tblCapacityInputs[[#This Row],[workload_component_id]],3)="PHS",SUMIFS(tblTasks[planned_hours],tblTasks[phase_id],tblCapacityInputs[[#This Row],[workload_component_id]]),"component_not_found")),"component_not_found"))</f>
        <v/>
      </c>
      <c r="J27" s="14">
        <f>IF(tblCapacityInputs[[#This Row],[capacity_input_id]]="","",IFERROR(IF(LEFT(tblCapacityInputs[[#This Row],[workload_component_id]],3)="TSK",INDEX(tblTasks[actual_hours],MATCH(tblCapacityInputs[[#This Row],[workload_component_id]],tblTasks[task_id],0))*1,IF(LEFT(tblCapacityInputs[[#This Row],[workload_component_id]],3)="PHS",SUMIFS(tblTasks[actual_hours],tblTasks[phase_id],tblCapacityInputs[[#This Row],[workload_component_id]]),"component_not_found")),"component_not_found"))</f>
        <v/>
      </c>
      <c r="K27" s="7" t="inlineStr">
        <is>
          <t>hours</t>
        </is>
      </c>
      <c r="L27" s="7" t="inlineStr">
        <is>
          <t>authoritative_workload</t>
        </is>
      </c>
      <c r="M27" s="7" t="inlineStr">
        <is>
          <t>implementation-operating-system</t>
        </is>
      </c>
      <c r="N27" s="6" t="inlineStr">
        <is>
          <t>9acd25a</t>
        </is>
      </c>
      <c r="O27" s="14">
        <f>IF(tblCapacityInputs[[#This Row],[capacity_input_id]]="","",IFERROR(INDEX(tblProjects[org_stage],MATCH(tblCapacityInputs[[#This Row],[project_id]],tblProjects[project_id],0))&amp;"",""))</f>
        <v/>
      </c>
      <c r="P27" s="14">
        <f>IF(tblCapacityInputs[[#This Row],[capacity_input_id]]="","",AND(NOT(tblCapacityInputs[[#This Row],[duplicate_authoritative_flag]]),ISNUMBER(tblCapacityInputs[[#This Row],[planned_hours]]),ISNUMBER(tblCapacityInputs[[#This Row],[actual_hours]]),tblCapacityInputs[[#This Row],[unit]]="hours",tblCapacityInputs[[#This Row],[project_id]]&lt;&gt;"source_not_found",COUNTIFS(tblLookupEntries[lookup_type],"capacity_inclusion_method",tblLookupEntries[key],tblCapacityInputs[[#This Row],[capacity_inclusion_method]])&gt;0))</f>
        <v/>
      </c>
      <c r="Q27" s="14">
        <f>IF(tblCapacityInputs[[#This Row],[capacity_input_id]]="","",AND(tblCapacityInputs[[#This Row],[capacity_inclusion_method]]="authoritative_workload",COUNTIFS(tblCapacityInputs[workload_component_id],tblCapacityInputs[[#This Row],[workload_component_id]],tblCapacityInputs[capacity_inclusion_method],"authoritative_workload")&gt;1))</f>
        <v/>
      </c>
      <c r="R27" s="14">
        <f>IF(tblCapacityInputs[[#This Row],[capacity_input_id]]="","",IF(AND(tblCapacityInputs[[#This Row],[capacity_inclusion_method]]="authoritative_workload",NOT(tblCapacityInputs[[#This Row],[duplicate_authoritative_flag]]),ISNUMBER(tblCapacityInputs[[#This Row],[planned_hours]])),tblCapacityInputs[[#This Row],[planned_hours]],0))</f>
        <v/>
      </c>
      <c r="S27" s="14">
        <f>IF(tblCapacityInputs[[#This Row],[capacity_input_id]]="","",IF(AND(tblCapacityInputs[[#This Row],[capacity_inclusion_method]]="authoritative_workload",NOT(tblCapacityInputs[[#This Row],[duplicate_authoritative_flag]]),ISNUMBER(tblCapacityInputs[[#This Row],[actual_hours]])),tblCapacityInputs[[#This Row],[actual_hours]],0))</f>
        <v/>
      </c>
    </row>
    <row r="28">
      <c r="A28" s="7" t="inlineStr">
        <is>
          <t>CPI-000024</t>
        </is>
      </c>
      <c r="B28" s="14">
        <f>IF(tblCapacityInputs[[#This Row],[capacity_input_id]]="","",IFERROR(IF(LEFT(tblCapacityInputs[[#This Row],[workload_component_id]],3)="TSK",LEFT(INDEX(tblTasks[planned_due_date],MATCH(tblCapacityInputs[[#This Row],[workload_component_id]],tblTasks[task_id],0))&amp;"",7),LEFT(INDEX(tblPhases[entered_at],MATCH(tblCapacityInputs[[#This Row],[workload_component_id]],tblPhases[phase_id],0))&amp;"",7)),""))</f>
        <v/>
      </c>
      <c r="C28" s="14">
        <f>IF(tblCapacityInputs[[#This Row],[capacity_input_id]]="","",IFERROR(IF(tblCapacityInputs[[#This Row],[source_entity_type]]="task",INDEX(tblTasks[project_id],MATCH(tblCapacityInputs[[#This Row],[source_entity_id]],tblTasks[task_id],0)),IF(tblCapacityInputs[[#This Row],[source_entity_type]]="request",INDEX(tblRequests[project_id],MATCH(tblCapacityInputs[[#This Row],[source_entity_id]],tblRequests[request_id],0)),IF(tblCapacityInputs[[#This Row],[source_entity_type]]="handoff",INDEX(tblHandoffs[project_id],MATCH(tblCapacityInputs[[#This Row],[source_entity_id]],tblHandoffs[handoff_id],0)),IF(tblCapacityInputs[[#This Row],[source_entity_type]]="phase",INDEX(tblPhases[project_id],MATCH(tblCapacityInputs[[#This Row],[source_entity_id]],tblPhases[phase_id],0)),"source_not_found"))))&amp;"","source_not_found"))</f>
        <v/>
      </c>
      <c r="D28" s="7" t="inlineStr">
        <is>
          <t>task</t>
        </is>
      </c>
      <c r="E28" s="7" t="inlineStr">
        <is>
          <t>TSK-000024</t>
        </is>
      </c>
      <c r="F28" s="14">
        <f>IF(tblCapacityInputs[[#This Row],[capacity_input_id]]="","",IFERROR(IF(tblCapacityInputs[[#This Row],[source_entity_type]]="task",INDEX(tblTasks[owner_role_id],MATCH(tblCapacityInputs[[#This Row],[source_entity_id]],tblTasks[task_id],0)),IF(tblCapacityInputs[[#This Row],[source_entity_type]]="request",INDEX(tblRequests[owner_role_id],MATCH(tblCapacityInputs[[#This Row],[source_entity_id]],tblRequests[request_id],0)),IF(tblCapacityInputs[[#This Row],[source_entity_type]]="handoff",INDEX(tblHandoffs[to_role_id],MATCH(tblCapacityInputs[[#This Row],[source_entity_id]],tblHandoffs[handoff_id],0)),IF(tblCapacityInputs[[#This Row],[source_entity_type]]="phase",INDEX(tblPhases[owner_role_id],MATCH(tblCapacityInputs[[#This Row],[source_entity_id]],tblPhases[phase_id],0)),"source_not_found"))))&amp;"","source_not_found"))</f>
        <v/>
      </c>
      <c r="G28" s="7" t="inlineStr">
        <is>
          <t>TSK-000024</t>
        </is>
      </c>
      <c r="H28" s="7" t="inlineStr">
        <is>
          <t>task_effort</t>
        </is>
      </c>
      <c r="I28" s="14">
        <f>IF(tblCapacityInputs[[#This Row],[capacity_input_id]]="","",IFERROR(IF(LEFT(tblCapacityInputs[[#This Row],[workload_component_id]],3)="TSK",INDEX(tblTasks[planned_hours],MATCH(tblCapacityInputs[[#This Row],[workload_component_id]],tblTasks[task_id],0))*1,IF(LEFT(tblCapacityInputs[[#This Row],[workload_component_id]],3)="PHS",SUMIFS(tblTasks[planned_hours],tblTasks[phase_id],tblCapacityInputs[[#This Row],[workload_component_id]]),"component_not_found")),"component_not_found"))</f>
        <v/>
      </c>
      <c r="J28" s="14">
        <f>IF(tblCapacityInputs[[#This Row],[capacity_input_id]]="","",IFERROR(IF(LEFT(tblCapacityInputs[[#This Row],[workload_component_id]],3)="TSK",INDEX(tblTasks[actual_hours],MATCH(tblCapacityInputs[[#This Row],[workload_component_id]],tblTasks[task_id],0))*1,IF(LEFT(tblCapacityInputs[[#This Row],[workload_component_id]],3)="PHS",SUMIFS(tblTasks[actual_hours],tblTasks[phase_id],tblCapacityInputs[[#This Row],[workload_component_id]]),"component_not_found")),"component_not_found"))</f>
        <v/>
      </c>
      <c r="K28" s="7" t="inlineStr">
        <is>
          <t>hours</t>
        </is>
      </c>
      <c r="L28" s="7" t="inlineStr">
        <is>
          <t>authoritative_workload</t>
        </is>
      </c>
      <c r="M28" s="7" t="inlineStr">
        <is>
          <t>implementation-operating-system</t>
        </is>
      </c>
      <c r="N28" s="6" t="inlineStr">
        <is>
          <t>9acd25a</t>
        </is>
      </c>
      <c r="O28" s="14">
        <f>IF(tblCapacityInputs[[#This Row],[capacity_input_id]]="","",IFERROR(INDEX(tblProjects[org_stage],MATCH(tblCapacityInputs[[#This Row],[project_id]],tblProjects[project_id],0))&amp;"",""))</f>
        <v/>
      </c>
      <c r="P28" s="14">
        <f>IF(tblCapacityInputs[[#This Row],[capacity_input_id]]="","",AND(NOT(tblCapacityInputs[[#This Row],[duplicate_authoritative_flag]]),ISNUMBER(tblCapacityInputs[[#This Row],[planned_hours]]),ISNUMBER(tblCapacityInputs[[#This Row],[actual_hours]]),tblCapacityInputs[[#This Row],[unit]]="hours",tblCapacityInputs[[#This Row],[project_id]]&lt;&gt;"source_not_found",COUNTIFS(tblLookupEntries[lookup_type],"capacity_inclusion_method",tblLookupEntries[key],tblCapacityInputs[[#This Row],[capacity_inclusion_method]])&gt;0))</f>
        <v/>
      </c>
      <c r="Q28" s="14">
        <f>IF(tblCapacityInputs[[#This Row],[capacity_input_id]]="","",AND(tblCapacityInputs[[#This Row],[capacity_inclusion_method]]="authoritative_workload",COUNTIFS(tblCapacityInputs[workload_component_id],tblCapacityInputs[[#This Row],[workload_component_id]],tblCapacityInputs[capacity_inclusion_method],"authoritative_workload")&gt;1))</f>
        <v/>
      </c>
      <c r="R28" s="14">
        <f>IF(tblCapacityInputs[[#This Row],[capacity_input_id]]="","",IF(AND(tblCapacityInputs[[#This Row],[capacity_inclusion_method]]="authoritative_workload",NOT(tblCapacityInputs[[#This Row],[duplicate_authoritative_flag]]),ISNUMBER(tblCapacityInputs[[#This Row],[planned_hours]])),tblCapacityInputs[[#This Row],[planned_hours]],0))</f>
        <v/>
      </c>
      <c r="S28" s="14">
        <f>IF(tblCapacityInputs[[#This Row],[capacity_input_id]]="","",IF(AND(tblCapacityInputs[[#This Row],[capacity_inclusion_method]]="authoritative_workload",NOT(tblCapacityInputs[[#This Row],[duplicate_authoritative_flag]]),ISNUMBER(tblCapacityInputs[[#This Row],[actual_hours]])),tblCapacityInputs[[#This Row],[actual_hours]],0))</f>
        <v/>
      </c>
    </row>
    <row r="29">
      <c r="A29" s="7" t="inlineStr">
        <is>
          <t>CPI-000025</t>
        </is>
      </c>
      <c r="B29" s="14">
        <f>IF(tblCapacityInputs[[#This Row],[capacity_input_id]]="","",IFERROR(IF(LEFT(tblCapacityInputs[[#This Row],[workload_component_id]],3)="TSK",LEFT(INDEX(tblTasks[planned_due_date],MATCH(tblCapacityInputs[[#This Row],[workload_component_id]],tblTasks[task_id],0))&amp;"",7),LEFT(INDEX(tblPhases[entered_at],MATCH(tblCapacityInputs[[#This Row],[workload_component_id]],tblPhases[phase_id],0))&amp;"",7)),""))</f>
        <v/>
      </c>
      <c r="C29" s="14">
        <f>IF(tblCapacityInputs[[#This Row],[capacity_input_id]]="","",IFERROR(IF(tblCapacityInputs[[#This Row],[source_entity_type]]="task",INDEX(tblTasks[project_id],MATCH(tblCapacityInputs[[#This Row],[source_entity_id]],tblTasks[task_id],0)),IF(tblCapacityInputs[[#This Row],[source_entity_type]]="request",INDEX(tblRequests[project_id],MATCH(tblCapacityInputs[[#This Row],[source_entity_id]],tblRequests[request_id],0)),IF(tblCapacityInputs[[#This Row],[source_entity_type]]="handoff",INDEX(tblHandoffs[project_id],MATCH(tblCapacityInputs[[#This Row],[source_entity_id]],tblHandoffs[handoff_id],0)),IF(tblCapacityInputs[[#This Row],[source_entity_type]]="phase",INDEX(tblPhases[project_id],MATCH(tblCapacityInputs[[#This Row],[source_entity_id]],tblPhases[phase_id],0)),"source_not_found"))))&amp;"","source_not_found"))</f>
        <v/>
      </c>
      <c r="D29" s="7" t="inlineStr">
        <is>
          <t>task</t>
        </is>
      </c>
      <c r="E29" s="7" t="inlineStr">
        <is>
          <t>TSK-000025</t>
        </is>
      </c>
      <c r="F29" s="14">
        <f>IF(tblCapacityInputs[[#This Row],[capacity_input_id]]="","",IFERROR(IF(tblCapacityInputs[[#This Row],[source_entity_type]]="task",INDEX(tblTasks[owner_role_id],MATCH(tblCapacityInputs[[#This Row],[source_entity_id]],tblTasks[task_id],0)),IF(tblCapacityInputs[[#This Row],[source_entity_type]]="request",INDEX(tblRequests[owner_role_id],MATCH(tblCapacityInputs[[#This Row],[source_entity_id]],tblRequests[request_id],0)),IF(tblCapacityInputs[[#This Row],[source_entity_type]]="handoff",INDEX(tblHandoffs[to_role_id],MATCH(tblCapacityInputs[[#This Row],[source_entity_id]],tblHandoffs[handoff_id],0)),IF(tblCapacityInputs[[#This Row],[source_entity_type]]="phase",INDEX(tblPhases[owner_role_id],MATCH(tblCapacityInputs[[#This Row],[source_entity_id]],tblPhases[phase_id],0)),"source_not_found"))))&amp;"","source_not_found"))</f>
        <v/>
      </c>
      <c r="G29" s="7" t="inlineStr">
        <is>
          <t>TSK-000025</t>
        </is>
      </c>
      <c r="H29" s="7" t="inlineStr">
        <is>
          <t>task_effort</t>
        </is>
      </c>
      <c r="I29" s="14">
        <f>IF(tblCapacityInputs[[#This Row],[capacity_input_id]]="","",IFERROR(IF(LEFT(tblCapacityInputs[[#This Row],[workload_component_id]],3)="TSK",INDEX(tblTasks[planned_hours],MATCH(tblCapacityInputs[[#This Row],[workload_component_id]],tblTasks[task_id],0))*1,IF(LEFT(tblCapacityInputs[[#This Row],[workload_component_id]],3)="PHS",SUMIFS(tblTasks[planned_hours],tblTasks[phase_id],tblCapacityInputs[[#This Row],[workload_component_id]]),"component_not_found")),"component_not_found"))</f>
        <v/>
      </c>
      <c r="J29" s="14">
        <f>IF(tblCapacityInputs[[#This Row],[capacity_input_id]]="","",IFERROR(IF(LEFT(tblCapacityInputs[[#This Row],[workload_component_id]],3)="TSK",INDEX(tblTasks[actual_hours],MATCH(tblCapacityInputs[[#This Row],[workload_component_id]],tblTasks[task_id],0))*1,IF(LEFT(tblCapacityInputs[[#This Row],[workload_component_id]],3)="PHS",SUMIFS(tblTasks[actual_hours],tblTasks[phase_id],tblCapacityInputs[[#This Row],[workload_component_id]]),"component_not_found")),"component_not_found"))</f>
        <v/>
      </c>
      <c r="K29" s="7" t="inlineStr">
        <is>
          <t>hours</t>
        </is>
      </c>
      <c r="L29" s="7" t="inlineStr">
        <is>
          <t>authoritative_workload</t>
        </is>
      </c>
      <c r="M29" s="7" t="inlineStr">
        <is>
          <t>implementation-operating-system</t>
        </is>
      </c>
      <c r="N29" s="6" t="inlineStr">
        <is>
          <t>9acd25a</t>
        </is>
      </c>
      <c r="O29" s="14">
        <f>IF(tblCapacityInputs[[#This Row],[capacity_input_id]]="","",IFERROR(INDEX(tblProjects[org_stage],MATCH(tblCapacityInputs[[#This Row],[project_id]],tblProjects[project_id],0))&amp;"",""))</f>
        <v/>
      </c>
      <c r="P29" s="14">
        <f>IF(tblCapacityInputs[[#This Row],[capacity_input_id]]="","",AND(NOT(tblCapacityInputs[[#This Row],[duplicate_authoritative_flag]]),ISNUMBER(tblCapacityInputs[[#This Row],[planned_hours]]),ISNUMBER(tblCapacityInputs[[#This Row],[actual_hours]]),tblCapacityInputs[[#This Row],[unit]]="hours",tblCapacityInputs[[#This Row],[project_id]]&lt;&gt;"source_not_found",COUNTIFS(tblLookupEntries[lookup_type],"capacity_inclusion_method",tblLookupEntries[key],tblCapacityInputs[[#This Row],[capacity_inclusion_method]])&gt;0))</f>
        <v/>
      </c>
      <c r="Q29" s="14">
        <f>IF(tblCapacityInputs[[#This Row],[capacity_input_id]]="","",AND(tblCapacityInputs[[#This Row],[capacity_inclusion_method]]="authoritative_workload",COUNTIFS(tblCapacityInputs[workload_component_id],tblCapacityInputs[[#This Row],[workload_component_id]],tblCapacityInputs[capacity_inclusion_method],"authoritative_workload")&gt;1))</f>
        <v/>
      </c>
      <c r="R29" s="14">
        <f>IF(tblCapacityInputs[[#This Row],[capacity_input_id]]="","",IF(AND(tblCapacityInputs[[#This Row],[capacity_inclusion_method]]="authoritative_workload",NOT(tblCapacityInputs[[#This Row],[duplicate_authoritative_flag]]),ISNUMBER(tblCapacityInputs[[#This Row],[planned_hours]])),tblCapacityInputs[[#This Row],[planned_hours]],0))</f>
        <v/>
      </c>
      <c r="S29" s="14">
        <f>IF(tblCapacityInputs[[#This Row],[capacity_input_id]]="","",IF(AND(tblCapacityInputs[[#This Row],[capacity_inclusion_method]]="authoritative_workload",NOT(tblCapacityInputs[[#This Row],[duplicate_authoritative_flag]]),ISNUMBER(tblCapacityInputs[[#This Row],[actual_hours]])),tblCapacityInputs[[#This Row],[actual_hours]],0))</f>
        <v/>
      </c>
    </row>
    <row r="30">
      <c r="A30" s="7" t="inlineStr">
        <is>
          <t>CPI-000026</t>
        </is>
      </c>
      <c r="B30" s="14">
        <f>IF(tblCapacityInputs[[#This Row],[capacity_input_id]]="","",IFERROR(IF(LEFT(tblCapacityInputs[[#This Row],[workload_component_id]],3)="TSK",LEFT(INDEX(tblTasks[planned_due_date],MATCH(tblCapacityInputs[[#This Row],[workload_component_id]],tblTasks[task_id],0))&amp;"",7),LEFT(INDEX(tblPhases[entered_at],MATCH(tblCapacityInputs[[#This Row],[workload_component_id]],tblPhases[phase_id],0))&amp;"",7)),""))</f>
        <v/>
      </c>
      <c r="C30" s="14">
        <f>IF(tblCapacityInputs[[#This Row],[capacity_input_id]]="","",IFERROR(IF(tblCapacityInputs[[#This Row],[source_entity_type]]="task",INDEX(tblTasks[project_id],MATCH(tblCapacityInputs[[#This Row],[source_entity_id]],tblTasks[task_id],0)),IF(tblCapacityInputs[[#This Row],[source_entity_type]]="request",INDEX(tblRequests[project_id],MATCH(tblCapacityInputs[[#This Row],[source_entity_id]],tblRequests[request_id],0)),IF(tblCapacityInputs[[#This Row],[source_entity_type]]="handoff",INDEX(tblHandoffs[project_id],MATCH(tblCapacityInputs[[#This Row],[source_entity_id]],tblHandoffs[handoff_id],0)),IF(tblCapacityInputs[[#This Row],[source_entity_type]]="phase",INDEX(tblPhases[project_id],MATCH(tblCapacityInputs[[#This Row],[source_entity_id]],tblPhases[phase_id],0)),"source_not_found"))))&amp;"","source_not_found"))</f>
        <v/>
      </c>
      <c r="D30" s="7" t="inlineStr">
        <is>
          <t>task</t>
        </is>
      </c>
      <c r="E30" s="7" t="inlineStr">
        <is>
          <t>TSK-000026</t>
        </is>
      </c>
      <c r="F30" s="14">
        <f>IF(tblCapacityInputs[[#This Row],[capacity_input_id]]="","",IFERROR(IF(tblCapacityInputs[[#This Row],[source_entity_type]]="task",INDEX(tblTasks[owner_role_id],MATCH(tblCapacityInputs[[#This Row],[source_entity_id]],tblTasks[task_id],0)),IF(tblCapacityInputs[[#This Row],[source_entity_type]]="request",INDEX(tblRequests[owner_role_id],MATCH(tblCapacityInputs[[#This Row],[source_entity_id]],tblRequests[request_id],0)),IF(tblCapacityInputs[[#This Row],[source_entity_type]]="handoff",INDEX(tblHandoffs[to_role_id],MATCH(tblCapacityInputs[[#This Row],[source_entity_id]],tblHandoffs[handoff_id],0)),IF(tblCapacityInputs[[#This Row],[source_entity_type]]="phase",INDEX(tblPhases[owner_role_id],MATCH(tblCapacityInputs[[#This Row],[source_entity_id]],tblPhases[phase_id],0)),"source_not_found"))))&amp;"","source_not_found"))</f>
        <v/>
      </c>
      <c r="G30" s="7" t="inlineStr">
        <is>
          <t>TSK-000026</t>
        </is>
      </c>
      <c r="H30" s="7" t="inlineStr">
        <is>
          <t>task_effort</t>
        </is>
      </c>
      <c r="I30" s="14">
        <f>IF(tblCapacityInputs[[#This Row],[capacity_input_id]]="","",IFERROR(IF(LEFT(tblCapacityInputs[[#This Row],[workload_component_id]],3)="TSK",INDEX(tblTasks[planned_hours],MATCH(tblCapacityInputs[[#This Row],[workload_component_id]],tblTasks[task_id],0))*1,IF(LEFT(tblCapacityInputs[[#This Row],[workload_component_id]],3)="PHS",SUMIFS(tblTasks[planned_hours],tblTasks[phase_id],tblCapacityInputs[[#This Row],[workload_component_id]]),"component_not_found")),"component_not_found"))</f>
        <v/>
      </c>
      <c r="J30" s="14">
        <f>IF(tblCapacityInputs[[#This Row],[capacity_input_id]]="","",IFERROR(IF(LEFT(tblCapacityInputs[[#This Row],[workload_component_id]],3)="TSK",INDEX(tblTasks[actual_hours],MATCH(tblCapacityInputs[[#This Row],[workload_component_id]],tblTasks[task_id],0))*1,IF(LEFT(tblCapacityInputs[[#This Row],[workload_component_id]],3)="PHS",SUMIFS(tblTasks[actual_hours],tblTasks[phase_id],tblCapacityInputs[[#This Row],[workload_component_id]]),"component_not_found")),"component_not_found"))</f>
        <v/>
      </c>
      <c r="K30" s="7" t="inlineStr">
        <is>
          <t>hours</t>
        </is>
      </c>
      <c r="L30" s="7" t="inlineStr">
        <is>
          <t>authoritative_workload</t>
        </is>
      </c>
      <c r="M30" s="7" t="inlineStr">
        <is>
          <t>implementation-operating-system</t>
        </is>
      </c>
      <c r="N30" s="6" t="inlineStr">
        <is>
          <t>9acd25a</t>
        </is>
      </c>
      <c r="O30" s="14">
        <f>IF(tblCapacityInputs[[#This Row],[capacity_input_id]]="","",IFERROR(INDEX(tblProjects[org_stage],MATCH(tblCapacityInputs[[#This Row],[project_id]],tblProjects[project_id],0))&amp;"",""))</f>
        <v/>
      </c>
      <c r="P30" s="14">
        <f>IF(tblCapacityInputs[[#This Row],[capacity_input_id]]="","",AND(NOT(tblCapacityInputs[[#This Row],[duplicate_authoritative_flag]]),ISNUMBER(tblCapacityInputs[[#This Row],[planned_hours]]),ISNUMBER(tblCapacityInputs[[#This Row],[actual_hours]]),tblCapacityInputs[[#This Row],[unit]]="hours",tblCapacityInputs[[#This Row],[project_id]]&lt;&gt;"source_not_found",COUNTIFS(tblLookupEntries[lookup_type],"capacity_inclusion_method",tblLookupEntries[key],tblCapacityInputs[[#This Row],[capacity_inclusion_method]])&gt;0))</f>
        <v/>
      </c>
      <c r="Q30" s="14">
        <f>IF(tblCapacityInputs[[#This Row],[capacity_input_id]]="","",AND(tblCapacityInputs[[#This Row],[capacity_inclusion_method]]="authoritative_workload",COUNTIFS(tblCapacityInputs[workload_component_id],tblCapacityInputs[[#This Row],[workload_component_id]],tblCapacityInputs[capacity_inclusion_method],"authoritative_workload")&gt;1))</f>
        <v/>
      </c>
      <c r="R30" s="14">
        <f>IF(tblCapacityInputs[[#This Row],[capacity_input_id]]="","",IF(AND(tblCapacityInputs[[#This Row],[capacity_inclusion_method]]="authoritative_workload",NOT(tblCapacityInputs[[#This Row],[duplicate_authoritative_flag]]),ISNUMBER(tblCapacityInputs[[#This Row],[planned_hours]])),tblCapacityInputs[[#This Row],[planned_hours]],0))</f>
        <v/>
      </c>
      <c r="S30" s="14">
        <f>IF(tblCapacityInputs[[#This Row],[capacity_input_id]]="","",IF(AND(tblCapacityInputs[[#This Row],[capacity_inclusion_method]]="authoritative_workload",NOT(tblCapacityInputs[[#This Row],[duplicate_authoritative_flag]]),ISNUMBER(tblCapacityInputs[[#This Row],[actual_hours]])),tblCapacityInputs[[#This Row],[actual_hours]],0))</f>
        <v/>
      </c>
    </row>
    <row r="31">
      <c r="A31" s="7" t="inlineStr">
        <is>
          <t>CPI-000027</t>
        </is>
      </c>
      <c r="B31" s="14">
        <f>IF(tblCapacityInputs[[#This Row],[capacity_input_id]]="","",IFERROR(IF(LEFT(tblCapacityInputs[[#This Row],[workload_component_id]],3)="TSK",LEFT(INDEX(tblTasks[planned_due_date],MATCH(tblCapacityInputs[[#This Row],[workload_component_id]],tblTasks[task_id],0))&amp;"",7),LEFT(INDEX(tblPhases[entered_at],MATCH(tblCapacityInputs[[#This Row],[workload_component_id]],tblPhases[phase_id],0))&amp;"",7)),""))</f>
        <v/>
      </c>
      <c r="C31" s="14">
        <f>IF(tblCapacityInputs[[#This Row],[capacity_input_id]]="","",IFERROR(IF(tblCapacityInputs[[#This Row],[source_entity_type]]="task",INDEX(tblTasks[project_id],MATCH(tblCapacityInputs[[#This Row],[source_entity_id]],tblTasks[task_id],0)),IF(tblCapacityInputs[[#This Row],[source_entity_type]]="request",INDEX(tblRequests[project_id],MATCH(tblCapacityInputs[[#This Row],[source_entity_id]],tblRequests[request_id],0)),IF(tblCapacityInputs[[#This Row],[source_entity_type]]="handoff",INDEX(tblHandoffs[project_id],MATCH(tblCapacityInputs[[#This Row],[source_entity_id]],tblHandoffs[handoff_id],0)),IF(tblCapacityInputs[[#This Row],[source_entity_type]]="phase",INDEX(tblPhases[project_id],MATCH(tblCapacityInputs[[#This Row],[source_entity_id]],tblPhases[phase_id],0)),"source_not_found"))))&amp;"","source_not_found"))</f>
        <v/>
      </c>
      <c r="D31" s="7" t="inlineStr">
        <is>
          <t>task</t>
        </is>
      </c>
      <c r="E31" s="7" t="inlineStr">
        <is>
          <t>TSK-000027</t>
        </is>
      </c>
      <c r="F31" s="14">
        <f>IF(tblCapacityInputs[[#This Row],[capacity_input_id]]="","",IFERROR(IF(tblCapacityInputs[[#This Row],[source_entity_type]]="task",INDEX(tblTasks[owner_role_id],MATCH(tblCapacityInputs[[#This Row],[source_entity_id]],tblTasks[task_id],0)),IF(tblCapacityInputs[[#This Row],[source_entity_type]]="request",INDEX(tblRequests[owner_role_id],MATCH(tblCapacityInputs[[#This Row],[source_entity_id]],tblRequests[request_id],0)),IF(tblCapacityInputs[[#This Row],[source_entity_type]]="handoff",INDEX(tblHandoffs[to_role_id],MATCH(tblCapacityInputs[[#This Row],[source_entity_id]],tblHandoffs[handoff_id],0)),IF(tblCapacityInputs[[#This Row],[source_entity_type]]="phase",INDEX(tblPhases[owner_role_id],MATCH(tblCapacityInputs[[#This Row],[source_entity_id]],tblPhases[phase_id],0)),"source_not_found"))))&amp;"","source_not_found"))</f>
        <v/>
      </c>
      <c r="G31" s="7" t="inlineStr">
        <is>
          <t>TSK-000027</t>
        </is>
      </c>
      <c r="H31" s="7" t="inlineStr">
        <is>
          <t>task_effort</t>
        </is>
      </c>
      <c r="I31" s="14">
        <f>IF(tblCapacityInputs[[#This Row],[capacity_input_id]]="","",IFERROR(IF(LEFT(tblCapacityInputs[[#This Row],[workload_component_id]],3)="TSK",INDEX(tblTasks[planned_hours],MATCH(tblCapacityInputs[[#This Row],[workload_component_id]],tblTasks[task_id],0))*1,IF(LEFT(tblCapacityInputs[[#This Row],[workload_component_id]],3)="PHS",SUMIFS(tblTasks[planned_hours],tblTasks[phase_id],tblCapacityInputs[[#This Row],[workload_component_id]]),"component_not_found")),"component_not_found"))</f>
        <v/>
      </c>
      <c r="J31" s="14">
        <f>IF(tblCapacityInputs[[#This Row],[capacity_input_id]]="","",IFERROR(IF(LEFT(tblCapacityInputs[[#This Row],[workload_component_id]],3)="TSK",INDEX(tblTasks[actual_hours],MATCH(tblCapacityInputs[[#This Row],[workload_component_id]],tblTasks[task_id],0))*1,IF(LEFT(tblCapacityInputs[[#This Row],[workload_component_id]],3)="PHS",SUMIFS(tblTasks[actual_hours],tblTasks[phase_id],tblCapacityInputs[[#This Row],[workload_component_id]]),"component_not_found")),"component_not_found"))</f>
        <v/>
      </c>
      <c r="K31" s="7" t="inlineStr">
        <is>
          <t>hours</t>
        </is>
      </c>
      <c r="L31" s="7" t="inlineStr">
        <is>
          <t>authoritative_workload</t>
        </is>
      </c>
      <c r="M31" s="7" t="inlineStr">
        <is>
          <t>implementation-operating-system</t>
        </is>
      </c>
      <c r="N31" s="6" t="inlineStr">
        <is>
          <t>9acd25a</t>
        </is>
      </c>
      <c r="O31" s="14">
        <f>IF(tblCapacityInputs[[#This Row],[capacity_input_id]]="","",IFERROR(INDEX(tblProjects[org_stage],MATCH(tblCapacityInputs[[#This Row],[project_id]],tblProjects[project_id],0))&amp;"",""))</f>
        <v/>
      </c>
      <c r="P31" s="14">
        <f>IF(tblCapacityInputs[[#This Row],[capacity_input_id]]="","",AND(NOT(tblCapacityInputs[[#This Row],[duplicate_authoritative_flag]]),ISNUMBER(tblCapacityInputs[[#This Row],[planned_hours]]),ISNUMBER(tblCapacityInputs[[#This Row],[actual_hours]]),tblCapacityInputs[[#This Row],[unit]]="hours",tblCapacityInputs[[#This Row],[project_id]]&lt;&gt;"source_not_found",COUNTIFS(tblLookupEntries[lookup_type],"capacity_inclusion_method",tblLookupEntries[key],tblCapacityInputs[[#This Row],[capacity_inclusion_method]])&gt;0))</f>
        <v/>
      </c>
      <c r="Q31" s="14">
        <f>IF(tblCapacityInputs[[#This Row],[capacity_input_id]]="","",AND(tblCapacityInputs[[#This Row],[capacity_inclusion_method]]="authoritative_workload",COUNTIFS(tblCapacityInputs[workload_component_id],tblCapacityInputs[[#This Row],[workload_component_id]],tblCapacityInputs[capacity_inclusion_method],"authoritative_workload")&gt;1))</f>
        <v/>
      </c>
      <c r="R31" s="14">
        <f>IF(tblCapacityInputs[[#This Row],[capacity_input_id]]="","",IF(AND(tblCapacityInputs[[#This Row],[capacity_inclusion_method]]="authoritative_workload",NOT(tblCapacityInputs[[#This Row],[duplicate_authoritative_flag]]),ISNUMBER(tblCapacityInputs[[#This Row],[planned_hours]])),tblCapacityInputs[[#This Row],[planned_hours]],0))</f>
        <v/>
      </c>
      <c r="S31" s="14">
        <f>IF(tblCapacityInputs[[#This Row],[capacity_input_id]]="","",IF(AND(tblCapacityInputs[[#This Row],[capacity_inclusion_method]]="authoritative_workload",NOT(tblCapacityInputs[[#This Row],[duplicate_authoritative_flag]]),ISNUMBER(tblCapacityInputs[[#This Row],[actual_hours]])),tblCapacityInputs[[#This Row],[actual_hours]],0))</f>
        <v/>
      </c>
    </row>
    <row r="32">
      <c r="A32" s="7" t="inlineStr">
        <is>
          <t>CPI-000028</t>
        </is>
      </c>
      <c r="B32" s="14">
        <f>IF(tblCapacityInputs[[#This Row],[capacity_input_id]]="","",IFERROR(IF(LEFT(tblCapacityInputs[[#This Row],[workload_component_id]],3)="TSK",LEFT(INDEX(tblTasks[planned_due_date],MATCH(tblCapacityInputs[[#This Row],[workload_component_id]],tblTasks[task_id],0))&amp;"",7),LEFT(INDEX(tblPhases[entered_at],MATCH(tblCapacityInputs[[#This Row],[workload_component_id]],tblPhases[phase_id],0))&amp;"",7)),""))</f>
        <v/>
      </c>
      <c r="C32" s="14">
        <f>IF(tblCapacityInputs[[#This Row],[capacity_input_id]]="","",IFERROR(IF(tblCapacityInputs[[#This Row],[source_entity_type]]="task",INDEX(tblTasks[project_id],MATCH(tblCapacityInputs[[#This Row],[source_entity_id]],tblTasks[task_id],0)),IF(tblCapacityInputs[[#This Row],[source_entity_type]]="request",INDEX(tblRequests[project_id],MATCH(tblCapacityInputs[[#This Row],[source_entity_id]],tblRequests[request_id],0)),IF(tblCapacityInputs[[#This Row],[source_entity_type]]="handoff",INDEX(tblHandoffs[project_id],MATCH(tblCapacityInputs[[#This Row],[source_entity_id]],tblHandoffs[handoff_id],0)),IF(tblCapacityInputs[[#This Row],[source_entity_type]]="phase",INDEX(tblPhases[project_id],MATCH(tblCapacityInputs[[#This Row],[source_entity_id]],tblPhases[phase_id],0)),"source_not_found"))))&amp;"","source_not_found"))</f>
        <v/>
      </c>
      <c r="D32" s="7" t="inlineStr">
        <is>
          <t>task</t>
        </is>
      </c>
      <c r="E32" s="7" t="inlineStr">
        <is>
          <t>TSK-000028</t>
        </is>
      </c>
      <c r="F32" s="14">
        <f>IF(tblCapacityInputs[[#This Row],[capacity_input_id]]="","",IFERROR(IF(tblCapacityInputs[[#This Row],[source_entity_type]]="task",INDEX(tblTasks[owner_role_id],MATCH(tblCapacityInputs[[#This Row],[source_entity_id]],tblTasks[task_id],0)),IF(tblCapacityInputs[[#This Row],[source_entity_type]]="request",INDEX(tblRequests[owner_role_id],MATCH(tblCapacityInputs[[#This Row],[source_entity_id]],tblRequests[request_id],0)),IF(tblCapacityInputs[[#This Row],[source_entity_type]]="handoff",INDEX(tblHandoffs[to_role_id],MATCH(tblCapacityInputs[[#This Row],[source_entity_id]],tblHandoffs[handoff_id],0)),IF(tblCapacityInputs[[#This Row],[source_entity_type]]="phase",INDEX(tblPhases[owner_role_id],MATCH(tblCapacityInputs[[#This Row],[source_entity_id]],tblPhases[phase_id],0)),"source_not_found"))))&amp;"","source_not_found"))</f>
        <v/>
      </c>
      <c r="G32" s="7" t="inlineStr">
        <is>
          <t>TSK-000028</t>
        </is>
      </c>
      <c r="H32" s="7" t="inlineStr">
        <is>
          <t>task_effort</t>
        </is>
      </c>
      <c r="I32" s="14">
        <f>IF(tblCapacityInputs[[#This Row],[capacity_input_id]]="","",IFERROR(IF(LEFT(tblCapacityInputs[[#This Row],[workload_component_id]],3)="TSK",INDEX(tblTasks[planned_hours],MATCH(tblCapacityInputs[[#This Row],[workload_component_id]],tblTasks[task_id],0))*1,IF(LEFT(tblCapacityInputs[[#This Row],[workload_component_id]],3)="PHS",SUMIFS(tblTasks[planned_hours],tblTasks[phase_id],tblCapacityInputs[[#This Row],[workload_component_id]]),"component_not_found")),"component_not_found"))</f>
        <v/>
      </c>
      <c r="J32" s="14">
        <f>IF(tblCapacityInputs[[#This Row],[capacity_input_id]]="","",IFERROR(IF(LEFT(tblCapacityInputs[[#This Row],[workload_component_id]],3)="TSK",INDEX(tblTasks[actual_hours],MATCH(tblCapacityInputs[[#This Row],[workload_component_id]],tblTasks[task_id],0))*1,IF(LEFT(tblCapacityInputs[[#This Row],[workload_component_id]],3)="PHS",SUMIFS(tblTasks[actual_hours],tblTasks[phase_id],tblCapacityInputs[[#This Row],[workload_component_id]]),"component_not_found")),"component_not_found"))</f>
        <v/>
      </c>
      <c r="K32" s="7" t="inlineStr">
        <is>
          <t>hours</t>
        </is>
      </c>
      <c r="L32" s="7" t="inlineStr">
        <is>
          <t>authoritative_workload</t>
        </is>
      </c>
      <c r="M32" s="7" t="inlineStr">
        <is>
          <t>implementation-operating-system</t>
        </is>
      </c>
      <c r="N32" s="6" t="inlineStr">
        <is>
          <t>9acd25a</t>
        </is>
      </c>
      <c r="O32" s="14">
        <f>IF(tblCapacityInputs[[#This Row],[capacity_input_id]]="","",IFERROR(INDEX(tblProjects[org_stage],MATCH(tblCapacityInputs[[#This Row],[project_id]],tblProjects[project_id],0))&amp;"",""))</f>
        <v/>
      </c>
      <c r="P32" s="14">
        <f>IF(tblCapacityInputs[[#This Row],[capacity_input_id]]="","",AND(NOT(tblCapacityInputs[[#This Row],[duplicate_authoritative_flag]]),ISNUMBER(tblCapacityInputs[[#This Row],[planned_hours]]),ISNUMBER(tblCapacityInputs[[#This Row],[actual_hours]]),tblCapacityInputs[[#This Row],[unit]]="hours",tblCapacityInputs[[#This Row],[project_id]]&lt;&gt;"source_not_found",COUNTIFS(tblLookupEntries[lookup_type],"capacity_inclusion_method",tblLookupEntries[key],tblCapacityInputs[[#This Row],[capacity_inclusion_method]])&gt;0))</f>
        <v/>
      </c>
      <c r="Q32" s="14">
        <f>IF(tblCapacityInputs[[#This Row],[capacity_input_id]]="","",AND(tblCapacityInputs[[#This Row],[capacity_inclusion_method]]="authoritative_workload",COUNTIFS(tblCapacityInputs[workload_component_id],tblCapacityInputs[[#This Row],[workload_component_id]],tblCapacityInputs[capacity_inclusion_method],"authoritative_workload")&gt;1))</f>
        <v/>
      </c>
      <c r="R32" s="14">
        <f>IF(tblCapacityInputs[[#This Row],[capacity_input_id]]="","",IF(AND(tblCapacityInputs[[#This Row],[capacity_inclusion_method]]="authoritative_workload",NOT(tblCapacityInputs[[#This Row],[duplicate_authoritative_flag]]),ISNUMBER(tblCapacityInputs[[#This Row],[planned_hours]])),tblCapacityInputs[[#This Row],[planned_hours]],0))</f>
        <v/>
      </c>
      <c r="S32" s="14">
        <f>IF(tblCapacityInputs[[#This Row],[capacity_input_id]]="","",IF(AND(tblCapacityInputs[[#This Row],[capacity_inclusion_method]]="authoritative_workload",NOT(tblCapacityInputs[[#This Row],[duplicate_authoritative_flag]]),ISNUMBER(tblCapacityInputs[[#This Row],[actual_hours]])),tblCapacityInputs[[#This Row],[actual_hours]],0))</f>
        <v/>
      </c>
    </row>
    <row r="33">
      <c r="A33" s="7" t="inlineStr">
        <is>
          <t>CPI-000029</t>
        </is>
      </c>
      <c r="B33" s="14">
        <f>IF(tblCapacityInputs[[#This Row],[capacity_input_id]]="","",IFERROR(IF(LEFT(tblCapacityInputs[[#This Row],[workload_component_id]],3)="TSK",LEFT(INDEX(tblTasks[planned_due_date],MATCH(tblCapacityInputs[[#This Row],[workload_component_id]],tblTasks[task_id],0))&amp;"",7),LEFT(INDEX(tblPhases[entered_at],MATCH(tblCapacityInputs[[#This Row],[workload_component_id]],tblPhases[phase_id],0))&amp;"",7)),""))</f>
        <v/>
      </c>
      <c r="C33" s="14">
        <f>IF(tblCapacityInputs[[#This Row],[capacity_input_id]]="","",IFERROR(IF(tblCapacityInputs[[#This Row],[source_entity_type]]="task",INDEX(tblTasks[project_id],MATCH(tblCapacityInputs[[#This Row],[source_entity_id]],tblTasks[task_id],0)),IF(tblCapacityInputs[[#This Row],[source_entity_type]]="request",INDEX(tblRequests[project_id],MATCH(tblCapacityInputs[[#This Row],[source_entity_id]],tblRequests[request_id],0)),IF(tblCapacityInputs[[#This Row],[source_entity_type]]="handoff",INDEX(tblHandoffs[project_id],MATCH(tblCapacityInputs[[#This Row],[source_entity_id]],tblHandoffs[handoff_id],0)),IF(tblCapacityInputs[[#This Row],[source_entity_type]]="phase",INDEX(tblPhases[project_id],MATCH(tblCapacityInputs[[#This Row],[source_entity_id]],tblPhases[phase_id],0)),"source_not_found"))))&amp;"","source_not_found"))</f>
        <v/>
      </c>
      <c r="D33" s="7" t="inlineStr">
        <is>
          <t>task</t>
        </is>
      </c>
      <c r="E33" s="7" t="inlineStr">
        <is>
          <t>TSK-000029</t>
        </is>
      </c>
      <c r="F33" s="14">
        <f>IF(tblCapacityInputs[[#This Row],[capacity_input_id]]="","",IFERROR(IF(tblCapacityInputs[[#This Row],[source_entity_type]]="task",INDEX(tblTasks[owner_role_id],MATCH(tblCapacityInputs[[#This Row],[source_entity_id]],tblTasks[task_id],0)),IF(tblCapacityInputs[[#This Row],[source_entity_type]]="request",INDEX(tblRequests[owner_role_id],MATCH(tblCapacityInputs[[#This Row],[source_entity_id]],tblRequests[request_id],0)),IF(tblCapacityInputs[[#This Row],[source_entity_type]]="handoff",INDEX(tblHandoffs[to_role_id],MATCH(tblCapacityInputs[[#This Row],[source_entity_id]],tblHandoffs[handoff_id],0)),IF(tblCapacityInputs[[#This Row],[source_entity_type]]="phase",INDEX(tblPhases[owner_role_id],MATCH(tblCapacityInputs[[#This Row],[source_entity_id]],tblPhases[phase_id],0)),"source_not_found"))))&amp;"","source_not_found"))</f>
        <v/>
      </c>
      <c r="G33" s="7" t="inlineStr">
        <is>
          <t>TSK-000029</t>
        </is>
      </c>
      <c r="H33" s="7" t="inlineStr">
        <is>
          <t>task_effort</t>
        </is>
      </c>
      <c r="I33" s="14">
        <f>IF(tblCapacityInputs[[#This Row],[capacity_input_id]]="","",IFERROR(IF(LEFT(tblCapacityInputs[[#This Row],[workload_component_id]],3)="TSK",INDEX(tblTasks[planned_hours],MATCH(tblCapacityInputs[[#This Row],[workload_component_id]],tblTasks[task_id],0))*1,IF(LEFT(tblCapacityInputs[[#This Row],[workload_component_id]],3)="PHS",SUMIFS(tblTasks[planned_hours],tblTasks[phase_id],tblCapacityInputs[[#This Row],[workload_component_id]]),"component_not_found")),"component_not_found"))</f>
        <v/>
      </c>
      <c r="J33" s="14">
        <f>IF(tblCapacityInputs[[#This Row],[capacity_input_id]]="","",IFERROR(IF(LEFT(tblCapacityInputs[[#This Row],[workload_component_id]],3)="TSK",INDEX(tblTasks[actual_hours],MATCH(tblCapacityInputs[[#This Row],[workload_component_id]],tblTasks[task_id],0))*1,IF(LEFT(tblCapacityInputs[[#This Row],[workload_component_id]],3)="PHS",SUMIFS(tblTasks[actual_hours],tblTasks[phase_id],tblCapacityInputs[[#This Row],[workload_component_id]]),"component_not_found")),"component_not_found"))</f>
        <v/>
      </c>
      <c r="K33" s="7" t="inlineStr">
        <is>
          <t>hours</t>
        </is>
      </c>
      <c r="L33" s="7" t="inlineStr">
        <is>
          <t>authoritative_workload</t>
        </is>
      </c>
      <c r="M33" s="7" t="inlineStr">
        <is>
          <t>implementation-operating-system</t>
        </is>
      </c>
      <c r="N33" s="6" t="inlineStr">
        <is>
          <t>9acd25a</t>
        </is>
      </c>
      <c r="O33" s="14">
        <f>IF(tblCapacityInputs[[#This Row],[capacity_input_id]]="","",IFERROR(INDEX(tblProjects[org_stage],MATCH(tblCapacityInputs[[#This Row],[project_id]],tblProjects[project_id],0))&amp;"",""))</f>
        <v/>
      </c>
      <c r="P33" s="14">
        <f>IF(tblCapacityInputs[[#This Row],[capacity_input_id]]="","",AND(NOT(tblCapacityInputs[[#This Row],[duplicate_authoritative_flag]]),ISNUMBER(tblCapacityInputs[[#This Row],[planned_hours]]),ISNUMBER(tblCapacityInputs[[#This Row],[actual_hours]]),tblCapacityInputs[[#This Row],[unit]]="hours",tblCapacityInputs[[#This Row],[project_id]]&lt;&gt;"source_not_found",COUNTIFS(tblLookupEntries[lookup_type],"capacity_inclusion_method",tblLookupEntries[key],tblCapacityInputs[[#This Row],[capacity_inclusion_method]])&gt;0))</f>
        <v/>
      </c>
      <c r="Q33" s="14">
        <f>IF(tblCapacityInputs[[#This Row],[capacity_input_id]]="","",AND(tblCapacityInputs[[#This Row],[capacity_inclusion_method]]="authoritative_workload",COUNTIFS(tblCapacityInputs[workload_component_id],tblCapacityInputs[[#This Row],[workload_component_id]],tblCapacityInputs[capacity_inclusion_method],"authoritative_workload")&gt;1))</f>
        <v/>
      </c>
      <c r="R33" s="14">
        <f>IF(tblCapacityInputs[[#This Row],[capacity_input_id]]="","",IF(AND(tblCapacityInputs[[#This Row],[capacity_inclusion_method]]="authoritative_workload",NOT(tblCapacityInputs[[#This Row],[duplicate_authoritative_flag]]),ISNUMBER(tblCapacityInputs[[#This Row],[planned_hours]])),tblCapacityInputs[[#This Row],[planned_hours]],0))</f>
        <v/>
      </c>
      <c r="S33" s="14">
        <f>IF(tblCapacityInputs[[#This Row],[capacity_input_id]]="","",IF(AND(tblCapacityInputs[[#This Row],[capacity_inclusion_method]]="authoritative_workload",NOT(tblCapacityInputs[[#This Row],[duplicate_authoritative_flag]]),ISNUMBER(tblCapacityInputs[[#This Row],[actual_hours]])),tblCapacityInputs[[#This Row],[actual_hours]],0))</f>
        <v/>
      </c>
    </row>
    <row r="34">
      <c r="A34" s="7" t="inlineStr">
        <is>
          <t>CPI-000030</t>
        </is>
      </c>
      <c r="B34" s="14">
        <f>IF(tblCapacityInputs[[#This Row],[capacity_input_id]]="","",IFERROR(IF(LEFT(tblCapacityInputs[[#This Row],[workload_component_id]],3)="TSK",LEFT(INDEX(tblTasks[planned_due_date],MATCH(tblCapacityInputs[[#This Row],[workload_component_id]],tblTasks[task_id],0))&amp;"",7),LEFT(INDEX(tblPhases[entered_at],MATCH(tblCapacityInputs[[#This Row],[workload_component_id]],tblPhases[phase_id],0))&amp;"",7)),""))</f>
        <v/>
      </c>
      <c r="C34" s="14">
        <f>IF(tblCapacityInputs[[#This Row],[capacity_input_id]]="","",IFERROR(IF(tblCapacityInputs[[#This Row],[source_entity_type]]="task",INDEX(tblTasks[project_id],MATCH(tblCapacityInputs[[#This Row],[source_entity_id]],tblTasks[task_id],0)),IF(tblCapacityInputs[[#This Row],[source_entity_type]]="request",INDEX(tblRequests[project_id],MATCH(tblCapacityInputs[[#This Row],[source_entity_id]],tblRequests[request_id],0)),IF(tblCapacityInputs[[#This Row],[source_entity_type]]="handoff",INDEX(tblHandoffs[project_id],MATCH(tblCapacityInputs[[#This Row],[source_entity_id]],tblHandoffs[handoff_id],0)),IF(tblCapacityInputs[[#This Row],[source_entity_type]]="phase",INDEX(tblPhases[project_id],MATCH(tblCapacityInputs[[#This Row],[source_entity_id]],tblPhases[phase_id],0)),"source_not_found"))))&amp;"","source_not_found"))</f>
        <v/>
      </c>
      <c r="D34" s="7" t="inlineStr">
        <is>
          <t>task</t>
        </is>
      </c>
      <c r="E34" s="7" t="inlineStr">
        <is>
          <t>TSK-000030</t>
        </is>
      </c>
      <c r="F34" s="14">
        <f>IF(tblCapacityInputs[[#This Row],[capacity_input_id]]="","",IFERROR(IF(tblCapacityInputs[[#This Row],[source_entity_type]]="task",INDEX(tblTasks[owner_role_id],MATCH(tblCapacityInputs[[#This Row],[source_entity_id]],tblTasks[task_id],0)),IF(tblCapacityInputs[[#This Row],[source_entity_type]]="request",INDEX(tblRequests[owner_role_id],MATCH(tblCapacityInputs[[#This Row],[source_entity_id]],tblRequests[request_id],0)),IF(tblCapacityInputs[[#This Row],[source_entity_type]]="handoff",INDEX(tblHandoffs[to_role_id],MATCH(tblCapacityInputs[[#This Row],[source_entity_id]],tblHandoffs[handoff_id],0)),IF(tblCapacityInputs[[#This Row],[source_entity_type]]="phase",INDEX(tblPhases[owner_role_id],MATCH(tblCapacityInputs[[#This Row],[source_entity_id]],tblPhases[phase_id],0)),"source_not_found"))))&amp;"","source_not_found"))</f>
        <v/>
      </c>
      <c r="G34" s="7" t="inlineStr">
        <is>
          <t>TSK-000030</t>
        </is>
      </c>
      <c r="H34" s="7" t="inlineStr">
        <is>
          <t>task_effort</t>
        </is>
      </c>
      <c r="I34" s="14">
        <f>IF(tblCapacityInputs[[#This Row],[capacity_input_id]]="","",IFERROR(IF(LEFT(tblCapacityInputs[[#This Row],[workload_component_id]],3)="TSK",INDEX(tblTasks[planned_hours],MATCH(tblCapacityInputs[[#This Row],[workload_component_id]],tblTasks[task_id],0))*1,IF(LEFT(tblCapacityInputs[[#This Row],[workload_component_id]],3)="PHS",SUMIFS(tblTasks[planned_hours],tblTasks[phase_id],tblCapacityInputs[[#This Row],[workload_component_id]]),"component_not_found")),"component_not_found"))</f>
        <v/>
      </c>
      <c r="J34" s="14">
        <f>IF(tblCapacityInputs[[#This Row],[capacity_input_id]]="","",IFERROR(IF(LEFT(tblCapacityInputs[[#This Row],[workload_component_id]],3)="TSK",INDEX(tblTasks[actual_hours],MATCH(tblCapacityInputs[[#This Row],[workload_component_id]],tblTasks[task_id],0))*1,IF(LEFT(tblCapacityInputs[[#This Row],[workload_component_id]],3)="PHS",SUMIFS(tblTasks[actual_hours],tblTasks[phase_id],tblCapacityInputs[[#This Row],[workload_component_id]]),"component_not_found")),"component_not_found"))</f>
        <v/>
      </c>
      <c r="K34" s="7" t="inlineStr">
        <is>
          <t>hours</t>
        </is>
      </c>
      <c r="L34" s="7" t="inlineStr">
        <is>
          <t>authoritative_workload</t>
        </is>
      </c>
      <c r="M34" s="7" t="inlineStr">
        <is>
          <t>implementation-operating-system</t>
        </is>
      </c>
      <c r="N34" s="6" t="inlineStr">
        <is>
          <t>9acd25a</t>
        </is>
      </c>
      <c r="O34" s="14">
        <f>IF(tblCapacityInputs[[#This Row],[capacity_input_id]]="","",IFERROR(INDEX(tblProjects[org_stage],MATCH(tblCapacityInputs[[#This Row],[project_id]],tblProjects[project_id],0))&amp;"",""))</f>
        <v/>
      </c>
      <c r="P34" s="14">
        <f>IF(tblCapacityInputs[[#This Row],[capacity_input_id]]="","",AND(NOT(tblCapacityInputs[[#This Row],[duplicate_authoritative_flag]]),ISNUMBER(tblCapacityInputs[[#This Row],[planned_hours]]),ISNUMBER(tblCapacityInputs[[#This Row],[actual_hours]]),tblCapacityInputs[[#This Row],[unit]]="hours",tblCapacityInputs[[#This Row],[project_id]]&lt;&gt;"source_not_found",COUNTIFS(tblLookupEntries[lookup_type],"capacity_inclusion_method",tblLookupEntries[key],tblCapacityInputs[[#This Row],[capacity_inclusion_method]])&gt;0))</f>
        <v/>
      </c>
      <c r="Q34" s="14">
        <f>IF(tblCapacityInputs[[#This Row],[capacity_input_id]]="","",AND(tblCapacityInputs[[#This Row],[capacity_inclusion_method]]="authoritative_workload",COUNTIFS(tblCapacityInputs[workload_component_id],tblCapacityInputs[[#This Row],[workload_component_id]],tblCapacityInputs[capacity_inclusion_method],"authoritative_workload")&gt;1))</f>
        <v/>
      </c>
      <c r="R34" s="14">
        <f>IF(tblCapacityInputs[[#This Row],[capacity_input_id]]="","",IF(AND(tblCapacityInputs[[#This Row],[capacity_inclusion_method]]="authoritative_workload",NOT(tblCapacityInputs[[#This Row],[duplicate_authoritative_flag]]),ISNUMBER(tblCapacityInputs[[#This Row],[planned_hours]])),tblCapacityInputs[[#This Row],[planned_hours]],0))</f>
        <v/>
      </c>
      <c r="S34" s="14">
        <f>IF(tblCapacityInputs[[#This Row],[capacity_input_id]]="","",IF(AND(tblCapacityInputs[[#This Row],[capacity_inclusion_method]]="authoritative_workload",NOT(tblCapacityInputs[[#This Row],[duplicate_authoritative_flag]]),ISNUMBER(tblCapacityInputs[[#This Row],[actual_hours]])),tblCapacityInputs[[#This Row],[actual_hours]],0))</f>
        <v/>
      </c>
    </row>
    <row r="35">
      <c r="A35" s="7" t="inlineStr">
        <is>
          <t>CPI-000031</t>
        </is>
      </c>
      <c r="B35" s="14">
        <f>IF(tblCapacityInputs[[#This Row],[capacity_input_id]]="","",IFERROR(IF(LEFT(tblCapacityInputs[[#This Row],[workload_component_id]],3)="TSK",LEFT(INDEX(tblTasks[planned_due_date],MATCH(tblCapacityInputs[[#This Row],[workload_component_id]],tblTasks[task_id],0))&amp;"",7),LEFT(INDEX(tblPhases[entered_at],MATCH(tblCapacityInputs[[#This Row],[workload_component_id]],tblPhases[phase_id],0))&amp;"",7)),""))</f>
        <v/>
      </c>
      <c r="C35" s="14">
        <f>IF(tblCapacityInputs[[#This Row],[capacity_input_id]]="","",IFERROR(IF(tblCapacityInputs[[#This Row],[source_entity_type]]="task",INDEX(tblTasks[project_id],MATCH(tblCapacityInputs[[#This Row],[source_entity_id]],tblTasks[task_id],0)),IF(tblCapacityInputs[[#This Row],[source_entity_type]]="request",INDEX(tblRequests[project_id],MATCH(tblCapacityInputs[[#This Row],[source_entity_id]],tblRequests[request_id],0)),IF(tblCapacityInputs[[#This Row],[source_entity_type]]="handoff",INDEX(tblHandoffs[project_id],MATCH(tblCapacityInputs[[#This Row],[source_entity_id]],tblHandoffs[handoff_id],0)),IF(tblCapacityInputs[[#This Row],[source_entity_type]]="phase",INDEX(tblPhases[project_id],MATCH(tblCapacityInputs[[#This Row],[source_entity_id]],tblPhases[phase_id],0)),"source_not_found"))))&amp;"","source_not_found"))</f>
        <v/>
      </c>
      <c r="D35" s="7" t="inlineStr">
        <is>
          <t>request</t>
        </is>
      </c>
      <c r="E35" s="7" t="inlineStr">
        <is>
          <t>REQ-000002</t>
        </is>
      </c>
      <c r="F35" s="14">
        <f>IF(tblCapacityInputs[[#This Row],[capacity_input_id]]="","",IFERROR(IF(tblCapacityInputs[[#This Row],[source_entity_type]]="task",INDEX(tblTasks[owner_role_id],MATCH(tblCapacityInputs[[#This Row],[source_entity_id]],tblTasks[task_id],0)),IF(tblCapacityInputs[[#This Row],[source_entity_type]]="request",INDEX(tblRequests[owner_role_id],MATCH(tblCapacityInputs[[#This Row],[source_entity_id]],tblRequests[request_id],0)),IF(tblCapacityInputs[[#This Row],[source_entity_type]]="handoff",INDEX(tblHandoffs[to_role_id],MATCH(tblCapacityInputs[[#This Row],[source_entity_id]],tblHandoffs[handoff_id],0)),IF(tblCapacityInputs[[#This Row],[source_entity_type]]="phase",INDEX(tblPhases[owner_role_id],MATCH(tblCapacityInputs[[#This Row],[source_entity_id]],tblPhases[phase_id],0)),"source_not_found"))))&amp;"","source_not_found"))</f>
        <v/>
      </c>
      <c r="G35" s="7" t="inlineStr">
        <is>
          <t>TSK-000011</t>
        </is>
      </c>
      <c r="H35" s="7" t="inlineStr">
        <is>
          <t>request_handling</t>
        </is>
      </c>
      <c r="I35" s="14">
        <f>IF(tblCapacityInputs[[#This Row],[capacity_input_id]]="","",IFERROR(IF(LEFT(tblCapacityInputs[[#This Row],[workload_component_id]],3)="TSK",INDEX(tblTasks[planned_hours],MATCH(tblCapacityInputs[[#This Row],[workload_component_id]],tblTasks[task_id],0))*1,IF(LEFT(tblCapacityInputs[[#This Row],[workload_component_id]],3)="PHS",SUMIFS(tblTasks[planned_hours],tblTasks[phase_id],tblCapacityInputs[[#This Row],[workload_component_id]]),"component_not_found")),"component_not_found"))</f>
        <v/>
      </c>
      <c r="J35" s="14">
        <f>IF(tblCapacityInputs[[#This Row],[capacity_input_id]]="","",IFERROR(IF(LEFT(tblCapacityInputs[[#This Row],[workload_component_id]],3)="TSK",INDEX(tblTasks[actual_hours],MATCH(tblCapacityInputs[[#This Row],[workload_component_id]],tblTasks[task_id],0))*1,IF(LEFT(tblCapacityInputs[[#This Row],[workload_component_id]],3)="PHS",SUMIFS(tblTasks[actual_hours],tblTasks[phase_id],tblCapacityInputs[[#This Row],[workload_component_id]]),"component_not_found")),"component_not_found"))</f>
        <v/>
      </c>
      <c r="K35" s="7" t="inlineStr">
        <is>
          <t>hours</t>
        </is>
      </c>
      <c r="L35" s="7" t="inlineStr">
        <is>
          <t>excluded_to_prevent_double_count</t>
        </is>
      </c>
      <c r="M35" s="7" t="inlineStr">
        <is>
          <t>implementation-operating-system</t>
        </is>
      </c>
      <c r="N35" s="6" t="inlineStr">
        <is>
          <t>9acd25a</t>
        </is>
      </c>
      <c r="O35" s="14">
        <f>IF(tblCapacityInputs[[#This Row],[capacity_input_id]]="","",IFERROR(INDEX(tblProjects[org_stage],MATCH(tblCapacityInputs[[#This Row],[project_id]],tblProjects[project_id],0))&amp;"",""))</f>
        <v/>
      </c>
      <c r="P35" s="14">
        <f>IF(tblCapacityInputs[[#This Row],[capacity_input_id]]="","",AND(NOT(tblCapacityInputs[[#This Row],[duplicate_authoritative_flag]]),ISNUMBER(tblCapacityInputs[[#This Row],[planned_hours]]),ISNUMBER(tblCapacityInputs[[#This Row],[actual_hours]]),tblCapacityInputs[[#This Row],[unit]]="hours",tblCapacityInputs[[#This Row],[project_id]]&lt;&gt;"source_not_found",COUNTIFS(tblLookupEntries[lookup_type],"capacity_inclusion_method",tblLookupEntries[key],tblCapacityInputs[[#This Row],[capacity_inclusion_method]])&gt;0))</f>
        <v/>
      </c>
      <c r="Q35" s="14">
        <f>IF(tblCapacityInputs[[#This Row],[capacity_input_id]]="","",AND(tblCapacityInputs[[#This Row],[capacity_inclusion_method]]="authoritative_workload",COUNTIFS(tblCapacityInputs[workload_component_id],tblCapacityInputs[[#This Row],[workload_component_id]],tblCapacityInputs[capacity_inclusion_method],"authoritative_workload")&gt;1))</f>
        <v/>
      </c>
      <c r="R35" s="14">
        <f>IF(tblCapacityInputs[[#This Row],[capacity_input_id]]="","",IF(AND(tblCapacityInputs[[#This Row],[capacity_inclusion_method]]="authoritative_workload",NOT(tblCapacityInputs[[#This Row],[duplicate_authoritative_flag]]),ISNUMBER(tblCapacityInputs[[#This Row],[planned_hours]])),tblCapacityInputs[[#This Row],[planned_hours]],0))</f>
        <v/>
      </c>
      <c r="S35" s="14">
        <f>IF(tblCapacityInputs[[#This Row],[capacity_input_id]]="","",IF(AND(tblCapacityInputs[[#This Row],[capacity_inclusion_method]]="authoritative_workload",NOT(tblCapacityInputs[[#This Row],[duplicate_authoritative_flag]]),ISNUMBER(tblCapacityInputs[[#This Row],[actual_hours]])),tblCapacityInputs[[#This Row],[actual_hours]],0))</f>
        <v/>
      </c>
    </row>
    <row r="36">
      <c r="A36" s="7" t="inlineStr">
        <is>
          <t>CPI-000032</t>
        </is>
      </c>
      <c r="B36" s="14">
        <f>IF(tblCapacityInputs[[#This Row],[capacity_input_id]]="","",IFERROR(IF(LEFT(tblCapacityInputs[[#This Row],[workload_component_id]],3)="TSK",LEFT(INDEX(tblTasks[planned_due_date],MATCH(tblCapacityInputs[[#This Row],[workload_component_id]],tblTasks[task_id],0))&amp;"",7),LEFT(INDEX(tblPhases[entered_at],MATCH(tblCapacityInputs[[#This Row],[workload_component_id]],tblPhases[phase_id],0))&amp;"",7)),""))</f>
        <v/>
      </c>
      <c r="C36" s="14">
        <f>IF(tblCapacityInputs[[#This Row],[capacity_input_id]]="","",IFERROR(IF(tblCapacityInputs[[#This Row],[source_entity_type]]="task",INDEX(tblTasks[project_id],MATCH(tblCapacityInputs[[#This Row],[source_entity_id]],tblTasks[task_id],0)),IF(tblCapacityInputs[[#This Row],[source_entity_type]]="request",INDEX(tblRequests[project_id],MATCH(tblCapacityInputs[[#This Row],[source_entity_id]],tblRequests[request_id],0)),IF(tblCapacityInputs[[#This Row],[source_entity_type]]="handoff",INDEX(tblHandoffs[project_id],MATCH(tblCapacityInputs[[#This Row],[source_entity_id]],tblHandoffs[handoff_id],0)),IF(tblCapacityInputs[[#This Row],[source_entity_type]]="phase",INDEX(tblPhases[project_id],MATCH(tblCapacityInputs[[#This Row],[source_entity_id]],tblPhases[phase_id],0)),"source_not_found"))))&amp;"","source_not_found"))</f>
        <v/>
      </c>
      <c r="D36" s="7" t="inlineStr">
        <is>
          <t>request</t>
        </is>
      </c>
      <c r="E36" s="7" t="inlineStr">
        <is>
          <t>REQ-000006</t>
        </is>
      </c>
      <c r="F36" s="14">
        <f>IF(tblCapacityInputs[[#This Row],[capacity_input_id]]="","",IFERROR(IF(tblCapacityInputs[[#This Row],[source_entity_type]]="task",INDEX(tblTasks[owner_role_id],MATCH(tblCapacityInputs[[#This Row],[source_entity_id]],tblTasks[task_id],0)),IF(tblCapacityInputs[[#This Row],[source_entity_type]]="request",INDEX(tblRequests[owner_role_id],MATCH(tblCapacityInputs[[#This Row],[source_entity_id]],tblRequests[request_id],0)),IF(tblCapacityInputs[[#This Row],[source_entity_type]]="handoff",INDEX(tblHandoffs[to_role_id],MATCH(tblCapacityInputs[[#This Row],[source_entity_id]],tblHandoffs[handoff_id],0)),IF(tblCapacityInputs[[#This Row],[source_entity_type]]="phase",INDEX(tblPhases[owner_role_id],MATCH(tblCapacityInputs[[#This Row],[source_entity_id]],tblPhases[phase_id],0)),"source_not_found"))))&amp;"","source_not_found"))</f>
        <v/>
      </c>
      <c r="G36" s="7" t="inlineStr">
        <is>
          <t>TSK-000026</t>
        </is>
      </c>
      <c r="H36" s="7" t="inlineStr">
        <is>
          <t>request_handling</t>
        </is>
      </c>
      <c r="I36" s="14">
        <f>IF(tblCapacityInputs[[#This Row],[capacity_input_id]]="","",IFERROR(IF(LEFT(tblCapacityInputs[[#This Row],[workload_component_id]],3)="TSK",INDEX(tblTasks[planned_hours],MATCH(tblCapacityInputs[[#This Row],[workload_component_id]],tblTasks[task_id],0))*1,IF(LEFT(tblCapacityInputs[[#This Row],[workload_component_id]],3)="PHS",SUMIFS(tblTasks[planned_hours],tblTasks[phase_id],tblCapacityInputs[[#This Row],[workload_component_id]]),"component_not_found")),"component_not_found"))</f>
        <v/>
      </c>
      <c r="J36" s="14">
        <f>IF(tblCapacityInputs[[#This Row],[capacity_input_id]]="","",IFERROR(IF(LEFT(tblCapacityInputs[[#This Row],[workload_component_id]],3)="TSK",INDEX(tblTasks[actual_hours],MATCH(tblCapacityInputs[[#This Row],[workload_component_id]],tblTasks[task_id],0))*1,IF(LEFT(tblCapacityInputs[[#This Row],[workload_component_id]],3)="PHS",SUMIFS(tblTasks[actual_hours],tblTasks[phase_id],tblCapacityInputs[[#This Row],[workload_component_id]]),"component_not_found")),"component_not_found"))</f>
        <v/>
      </c>
      <c r="K36" s="7" t="inlineStr">
        <is>
          <t>hours</t>
        </is>
      </c>
      <c r="L36" s="7" t="inlineStr">
        <is>
          <t>excluded_to_prevent_double_count</t>
        </is>
      </c>
      <c r="M36" s="7" t="inlineStr">
        <is>
          <t>implementation-operating-system</t>
        </is>
      </c>
      <c r="N36" s="6" t="inlineStr">
        <is>
          <t>9acd25a</t>
        </is>
      </c>
      <c r="O36" s="14">
        <f>IF(tblCapacityInputs[[#This Row],[capacity_input_id]]="","",IFERROR(INDEX(tblProjects[org_stage],MATCH(tblCapacityInputs[[#This Row],[project_id]],tblProjects[project_id],0))&amp;"",""))</f>
        <v/>
      </c>
      <c r="P36" s="14">
        <f>IF(tblCapacityInputs[[#This Row],[capacity_input_id]]="","",AND(NOT(tblCapacityInputs[[#This Row],[duplicate_authoritative_flag]]),ISNUMBER(tblCapacityInputs[[#This Row],[planned_hours]]),ISNUMBER(tblCapacityInputs[[#This Row],[actual_hours]]),tblCapacityInputs[[#This Row],[unit]]="hours",tblCapacityInputs[[#This Row],[project_id]]&lt;&gt;"source_not_found",COUNTIFS(tblLookupEntries[lookup_type],"capacity_inclusion_method",tblLookupEntries[key],tblCapacityInputs[[#This Row],[capacity_inclusion_method]])&gt;0))</f>
        <v/>
      </c>
      <c r="Q36" s="14">
        <f>IF(tblCapacityInputs[[#This Row],[capacity_input_id]]="","",AND(tblCapacityInputs[[#This Row],[capacity_inclusion_method]]="authoritative_workload",COUNTIFS(tblCapacityInputs[workload_component_id],tblCapacityInputs[[#This Row],[workload_component_id]],tblCapacityInputs[capacity_inclusion_method],"authoritative_workload")&gt;1))</f>
        <v/>
      </c>
      <c r="R36" s="14">
        <f>IF(tblCapacityInputs[[#This Row],[capacity_input_id]]="","",IF(AND(tblCapacityInputs[[#This Row],[capacity_inclusion_method]]="authoritative_workload",NOT(tblCapacityInputs[[#This Row],[duplicate_authoritative_flag]]),ISNUMBER(tblCapacityInputs[[#This Row],[planned_hours]])),tblCapacityInputs[[#This Row],[planned_hours]],0))</f>
        <v/>
      </c>
      <c r="S36" s="14">
        <f>IF(tblCapacityInputs[[#This Row],[capacity_input_id]]="","",IF(AND(tblCapacityInputs[[#This Row],[capacity_inclusion_method]]="authoritative_workload",NOT(tblCapacityInputs[[#This Row],[duplicate_authoritative_flag]]),ISNUMBER(tblCapacityInputs[[#This Row],[actual_hours]])),tblCapacityInputs[[#This Row],[actual_hours]],0))</f>
        <v/>
      </c>
    </row>
    <row r="37">
      <c r="A37" s="7" t="inlineStr">
        <is>
          <t>CPI-000033</t>
        </is>
      </c>
      <c r="B37" s="14">
        <f>IF(tblCapacityInputs[[#This Row],[capacity_input_id]]="","",IFERROR(IF(LEFT(tblCapacityInputs[[#This Row],[workload_component_id]],3)="TSK",LEFT(INDEX(tblTasks[planned_due_date],MATCH(tblCapacityInputs[[#This Row],[workload_component_id]],tblTasks[task_id],0))&amp;"",7),LEFT(INDEX(tblPhases[entered_at],MATCH(tblCapacityInputs[[#This Row],[workload_component_id]],tblPhases[phase_id],0))&amp;"",7)),""))</f>
        <v/>
      </c>
      <c r="C37" s="14">
        <f>IF(tblCapacityInputs[[#This Row],[capacity_input_id]]="","",IFERROR(IF(tblCapacityInputs[[#This Row],[source_entity_type]]="task",INDEX(tblTasks[project_id],MATCH(tblCapacityInputs[[#This Row],[source_entity_id]],tblTasks[task_id],0)),IF(tblCapacityInputs[[#This Row],[source_entity_type]]="request",INDEX(tblRequests[project_id],MATCH(tblCapacityInputs[[#This Row],[source_entity_id]],tblRequests[request_id],0)),IF(tblCapacityInputs[[#This Row],[source_entity_type]]="handoff",INDEX(tblHandoffs[project_id],MATCH(tblCapacityInputs[[#This Row],[source_entity_id]],tblHandoffs[handoff_id],0)),IF(tblCapacityInputs[[#This Row],[source_entity_type]]="phase",INDEX(tblPhases[project_id],MATCH(tblCapacityInputs[[#This Row],[source_entity_id]],tblPhases[phase_id],0)),"source_not_found"))))&amp;"","source_not_found"))</f>
        <v/>
      </c>
      <c r="D37" s="7" t="inlineStr">
        <is>
          <t>handoff</t>
        </is>
      </c>
      <c r="E37" s="7" t="inlineStr">
        <is>
          <t>HND-000002</t>
        </is>
      </c>
      <c r="F37" s="14">
        <f>IF(tblCapacityInputs[[#This Row],[capacity_input_id]]="","",IFERROR(IF(tblCapacityInputs[[#This Row],[source_entity_type]]="task",INDEX(tblTasks[owner_role_id],MATCH(tblCapacityInputs[[#This Row],[source_entity_id]],tblTasks[task_id],0)),IF(tblCapacityInputs[[#This Row],[source_entity_type]]="request",INDEX(tblRequests[owner_role_id],MATCH(tblCapacityInputs[[#This Row],[source_entity_id]],tblRequests[request_id],0)),IF(tblCapacityInputs[[#This Row],[source_entity_type]]="handoff",INDEX(tblHandoffs[to_role_id],MATCH(tblCapacityInputs[[#This Row],[source_entity_id]],tblHandoffs[handoff_id],0)),IF(tblCapacityInputs[[#This Row],[source_entity_type]]="phase",INDEX(tblPhases[owner_role_id],MATCH(tblCapacityInputs[[#This Row],[source_entity_id]],tblPhases[phase_id],0)),"source_not_found"))))&amp;"","source_not_found"))</f>
        <v/>
      </c>
      <c r="G37" s="7" t="inlineStr">
        <is>
          <t>TSK-000026</t>
        </is>
      </c>
      <c r="H37" s="7" t="inlineStr">
        <is>
          <t>handoff_effort</t>
        </is>
      </c>
      <c r="I37" s="14">
        <f>IF(tblCapacityInputs[[#This Row],[capacity_input_id]]="","",IFERROR(IF(LEFT(tblCapacityInputs[[#This Row],[workload_component_id]],3)="TSK",INDEX(tblTasks[planned_hours],MATCH(tblCapacityInputs[[#This Row],[workload_component_id]],tblTasks[task_id],0))*1,IF(LEFT(tblCapacityInputs[[#This Row],[workload_component_id]],3)="PHS",SUMIFS(tblTasks[planned_hours],tblTasks[phase_id],tblCapacityInputs[[#This Row],[workload_component_id]]),"component_not_found")),"component_not_found"))</f>
        <v/>
      </c>
      <c r="J37" s="14">
        <f>IF(tblCapacityInputs[[#This Row],[capacity_input_id]]="","",IFERROR(IF(LEFT(tblCapacityInputs[[#This Row],[workload_component_id]],3)="TSK",INDEX(tblTasks[actual_hours],MATCH(tblCapacityInputs[[#This Row],[workload_component_id]],tblTasks[task_id],0))*1,IF(LEFT(tblCapacityInputs[[#This Row],[workload_component_id]],3)="PHS",SUMIFS(tblTasks[actual_hours],tblTasks[phase_id],tblCapacityInputs[[#This Row],[workload_component_id]]),"component_not_found")),"component_not_found"))</f>
        <v/>
      </c>
      <c r="K37" s="7" t="inlineStr">
        <is>
          <t>hours</t>
        </is>
      </c>
      <c r="L37" s="7" t="inlineStr">
        <is>
          <t>excluded_to_prevent_double_count</t>
        </is>
      </c>
      <c r="M37" s="7" t="inlineStr">
        <is>
          <t>implementation-operating-system</t>
        </is>
      </c>
      <c r="N37" s="6" t="inlineStr">
        <is>
          <t>9acd25a</t>
        </is>
      </c>
      <c r="O37" s="14">
        <f>IF(tblCapacityInputs[[#This Row],[capacity_input_id]]="","",IFERROR(INDEX(tblProjects[org_stage],MATCH(tblCapacityInputs[[#This Row],[project_id]],tblProjects[project_id],0))&amp;"",""))</f>
        <v/>
      </c>
      <c r="P37" s="14">
        <f>IF(tblCapacityInputs[[#This Row],[capacity_input_id]]="","",AND(NOT(tblCapacityInputs[[#This Row],[duplicate_authoritative_flag]]),ISNUMBER(tblCapacityInputs[[#This Row],[planned_hours]]),ISNUMBER(tblCapacityInputs[[#This Row],[actual_hours]]),tblCapacityInputs[[#This Row],[unit]]="hours",tblCapacityInputs[[#This Row],[project_id]]&lt;&gt;"source_not_found",COUNTIFS(tblLookupEntries[lookup_type],"capacity_inclusion_method",tblLookupEntries[key],tblCapacityInputs[[#This Row],[capacity_inclusion_method]])&gt;0))</f>
        <v/>
      </c>
      <c r="Q37" s="14">
        <f>IF(tblCapacityInputs[[#This Row],[capacity_input_id]]="","",AND(tblCapacityInputs[[#This Row],[capacity_inclusion_method]]="authoritative_workload",COUNTIFS(tblCapacityInputs[workload_component_id],tblCapacityInputs[[#This Row],[workload_component_id]],tblCapacityInputs[capacity_inclusion_method],"authoritative_workload")&gt;1))</f>
        <v/>
      </c>
      <c r="R37" s="14">
        <f>IF(tblCapacityInputs[[#This Row],[capacity_input_id]]="","",IF(AND(tblCapacityInputs[[#This Row],[capacity_inclusion_method]]="authoritative_workload",NOT(tblCapacityInputs[[#This Row],[duplicate_authoritative_flag]]),ISNUMBER(tblCapacityInputs[[#This Row],[planned_hours]])),tblCapacityInputs[[#This Row],[planned_hours]],0))</f>
        <v/>
      </c>
      <c r="S37" s="14">
        <f>IF(tblCapacityInputs[[#This Row],[capacity_input_id]]="","",IF(AND(tblCapacityInputs[[#This Row],[capacity_inclusion_method]]="authoritative_workload",NOT(tblCapacityInputs[[#This Row],[duplicate_authoritative_flag]]),ISNUMBER(tblCapacityInputs[[#This Row],[actual_hours]])),tblCapacityInputs[[#This Row],[actual_hours]],0))</f>
        <v/>
      </c>
    </row>
    <row r="38">
      <c r="A38" s="7" t="inlineStr">
        <is>
          <t>CPI-000034</t>
        </is>
      </c>
      <c r="B38" s="14">
        <f>IF(tblCapacityInputs[[#This Row],[capacity_input_id]]="","",IFERROR(IF(LEFT(tblCapacityInputs[[#This Row],[workload_component_id]],3)="TSK",LEFT(INDEX(tblTasks[planned_due_date],MATCH(tblCapacityInputs[[#This Row],[workload_component_id]],tblTasks[task_id],0))&amp;"",7),LEFT(INDEX(tblPhases[entered_at],MATCH(tblCapacityInputs[[#This Row],[workload_component_id]],tblPhases[phase_id],0))&amp;"",7)),""))</f>
        <v/>
      </c>
      <c r="C38" s="14">
        <f>IF(tblCapacityInputs[[#This Row],[capacity_input_id]]="","",IFERROR(IF(tblCapacityInputs[[#This Row],[source_entity_type]]="task",INDEX(tblTasks[project_id],MATCH(tblCapacityInputs[[#This Row],[source_entity_id]],tblTasks[task_id],0)),IF(tblCapacityInputs[[#This Row],[source_entity_type]]="request",INDEX(tblRequests[project_id],MATCH(tblCapacityInputs[[#This Row],[source_entity_id]],tblRequests[request_id],0)),IF(tblCapacityInputs[[#This Row],[source_entity_type]]="handoff",INDEX(tblHandoffs[project_id],MATCH(tblCapacityInputs[[#This Row],[source_entity_id]],tblHandoffs[handoff_id],0)),IF(tblCapacityInputs[[#This Row],[source_entity_type]]="phase",INDEX(tblPhases[project_id],MATCH(tblCapacityInputs[[#This Row],[source_entity_id]],tblPhases[phase_id],0)),"source_not_found"))))&amp;"","source_not_found"))</f>
        <v/>
      </c>
      <c r="D38" s="7" t="inlineStr">
        <is>
          <t>phase</t>
        </is>
      </c>
      <c r="E38" s="7" t="inlineStr">
        <is>
          <t>PHS-000006</t>
        </is>
      </c>
      <c r="F38" s="14">
        <f>IF(tblCapacityInputs[[#This Row],[capacity_input_id]]="","",IFERROR(IF(tblCapacityInputs[[#This Row],[source_entity_type]]="task",INDEX(tblTasks[owner_role_id],MATCH(tblCapacityInputs[[#This Row],[source_entity_id]],tblTasks[task_id],0)),IF(tblCapacityInputs[[#This Row],[source_entity_type]]="request",INDEX(tblRequests[owner_role_id],MATCH(tblCapacityInputs[[#This Row],[source_entity_id]],tblRequests[request_id],0)),IF(tblCapacityInputs[[#This Row],[source_entity_type]]="handoff",INDEX(tblHandoffs[to_role_id],MATCH(tblCapacityInputs[[#This Row],[source_entity_id]],tblHandoffs[handoff_id],0)),IF(tblCapacityInputs[[#This Row],[source_entity_type]]="phase",INDEX(tblPhases[owner_role_id],MATCH(tblCapacityInputs[[#This Row],[source_entity_id]],tblPhases[phase_id],0)),"source_not_found"))))&amp;"","source_not_found"))</f>
        <v/>
      </c>
      <c r="G38" s="7" t="inlineStr">
        <is>
          <t>PHS-000006</t>
        </is>
      </c>
      <c r="H38" s="7" t="inlineStr">
        <is>
          <t>phase_summary</t>
        </is>
      </c>
      <c r="I38" s="14">
        <f>IF(tblCapacityInputs[[#This Row],[capacity_input_id]]="","",IFERROR(IF(LEFT(tblCapacityInputs[[#This Row],[workload_component_id]],3)="TSK",INDEX(tblTasks[planned_hours],MATCH(tblCapacityInputs[[#This Row],[workload_component_id]],tblTasks[task_id],0))*1,IF(LEFT(tblCapacityInputs[[#This Row],[workload_component_id]],3)="PHS",SUMIFS(tblTasks[planned_hours],tblTasks[phase_id],tblCapacityInputs[[#This Row],[workload_component_id]]),"component_not_found")),"component_not_found"))</f>
        <v/>
      </c>
      <c r="J38" s="14">
        <f>IF(tblCapacityInputs[[#This Row],[capacity_input_id]]="","",IFERROR(IF(LEFT(tblCapacityInputs[[#This Row],[workload_component_id]],3)="TSK",INDEX(tblTasks[actual_hours],MATCH(tblCapacityInputs[[#This Row],[workload_component_id]],tblTasks[task_id],0))*1,IF(LEFT(tblCapacityInputs[[#This Row],[workload_component_id]],3)="PHS",SUMIFS(tblTasks[actual_hours],tblTasks[phase_id],tblCapacityInputs[[#This Row],[workload_component_id]]),"component_not_found")),"component_not_found"))</f>
        <v/>
      </c>
      <c r="K38" s="7" t="inlineStr">
        <is>
          <t>hours</t>
        </is>
      </c>
      <c r="L38" s="7" t="inlineStr">
        <is>
          <t>informational_only</t>
        </is>
      </c>
      <c r="M38" s="7" t="inlineStr">
        <is>
          <t>implementation-operating-system</t>
        </is>
      </c>
      <c r="N38" s="6" t="inlineStr">
        <is>
          <t>9acd25a</t>
        </is>
      </c>
      <c r="O38" s="14">
        <f>IF(tblCapacityInputs[[#This Row],[capacity_input_id]]="","",IFERROR(INDEX(tblProjects[org_stage],MATCH(tblCapacityInputs[[#This Row],[project_id]],tblProjects[project_id],0))&amp;"",""))</f>
        <v/>
      </c>
      <c r="P38" s="14">
        <f>IF(tblCapacityInputs[[#This Row],[capacity_input_id]]="","",AND(NOT(tblCapacityInputs[[#This Row],[duplicate_authoritative_flag]]),ISNUMBER(tblCapacityInputs[[#This Row],[planned_hours]]),ISNUMBER(tblCapacityInputs[[#This Row],[actual_hours]]),tblCapacityInputs[[#This Row],[unit]]="hours",tblCapacityInputs[[#This Row],[project_id]]&lt;&gt;"source_not_found",COUNTIFS(tblLookupEntries[lookup_type],"capacity_inclusion_method",tblLookupEntries[key],tblCapacityInputs[[#This Row],[capacity_inclusion_method]])&gt;0))</f>
        <v/>
      </c>
      <c r="Q38" s="14">
        <f>IF(tblCapacityInputs[[#This Row],[capacity_input_id]]="","",AND(tblCapacityInputs[[#This Row],[capacity_inclusion_method]]="authoritative_workload",COUNTIFS(tblCapacityInputs[workload_component_id],tblCapacityInputs[[#This Row],[workload_component_id]],tblCapacityInputs[capacity_inclusion_method],"authoritative_workload")&gt;1))</f>
        <v/>
      </c>
      <c r="R38" s="14">
        <f>IF(tblCapacityInputs[[#This Row],[capacity_input_id]]="","",IF(AND(tblCapacityInputs[[#This Row],[capacity_inclusion_method]]="authoritative_workload",NOT(tblCapacityInputs[[#This Row],[duplicate_authoritative_flag]]),ISNUMBER(tblCapacityInputs[[#This Row],[planned_hours]])),tblCapacityInputs[[#This Row],[planned_hours]],0))</f>
        <v/>
      </c>
      <c r="S38" s="14">
        <f>IF(tblCapacityInputs[[#This Row],[capacity_input_id]]="","",IF(AND(tblCapacityInputs[[#This Row],[capacity_inclusion_method]]="authoritative_workload",NOT(tblCapacityInputs[[#This Row],[duplicate_authoritative_flag]]),ISNUMBER(tblCapacityInputs[[#This Row],[actual_hours]])),tblCapacityInputs[[#This Row],[actual_hours]],0))</f>
        <v/>
      </c>
    </row>
    <row r="39">
      <c r="A39" s="7" t="inlineStr">
        <is>
          <t>CPI-000035</t>
        </is>
      </c>
      <c r="B39" s="14">
        <f>IF(tblCapacityInputs[[#This Row],[capacity_input_id]]="","",IFERROR(IF(LEFT(tblCapacityInputs[[#This Row],[workload_component_id]],3)="TSK",LEFT(INDEX(tblTasks[planned_due_date],MATCH(tblCapacityInputs[[#This Row],[workload_component_id]],tblTasks[task_id],0))&amp;"",7),LEFT(INDEX(tblPhases[entered_at],MATCH(tblCapacityInputs[[#This Row],[workload_component_id]],tblPhases[phase_id],0))&amp;"",7)),""))</f>
        <v/>
      </c>
      <c r="C39" s="14">
        <f>IF(tblCapacityInputs[[#This Row],[capacity_input_id]]="","",IFERROR(IF(tblCapacityInputs[[#This Row],[source_entity_type]]="task",INDEX(tblTasks[project_id],MATCH(tblCapacityInputs[[#This Row],[source_entity_id]],tblTasks[task_id],0)),IF(tblCapacityInputs[[#This Row],[source_entity_type]]="request",INDEX(tblRequests[project_id],MATCH(tblCapacityInputs[[#This Row],[source_entity_id]],tblRequests[request_id],0)),IF(tblCapacityInputs[[#This Row],[source_entity_type]]="handoff",INDEX(tblHandoffs[project_id],MATCH(tblCapacityInputs[[#This Row],[source_entity_id]],tblHandoffs[handoff_id],0)),IF(tblCapacityInputs[[#This Row],[source_entity_type]]="phase",INDEX(tblPhases[project_id],MATCH(tblCapacityInputs[[#This Row],[source_entity_id]],tblPhases[phase_id],0)),"source_not_found"))))&amp;"","source_not_found"))</f>
        <v/>
      </c>
      <c r="D39" s="7" t="inlineStr">
        <is>
          <t>phase</t>
        </is>
      </c>
      <c r="E39" s="7" t="inlineStr">
        <is>
          <t>PHS-000015</t>
        </is>
      </c>
      <c r="F39" s="14">
        <f>IF(tblCapacityInputs[[#This Row],[capacity_input_id]]="","",IFERROR(IF(tblCapacityInputs[[#This Row],[source_entity_type]]="task",INDEX(tblTasks[owner_role_id],MATCH(tblCapacityInputs[[#This Row],[source_entity_id]],tblTasks[task_id],0)),IF(tblCapacityInputs[[#This Row],[source_entity_type]]="request",INDEX(tblRequests[owner_role_id],MATCH(tblCapacityInputs[[#This Row],[source_entity_id]],tblRequests[request_id],0)),IF(tblCapacityInputs[[#This Row],[source_entity_type]]="handoff",INDEX(tblHandoffs[to_role_id],MATCH(tblCapacityInputs[[#This Row],[source_entity_id]],tblHandoffs[handoff_id],0)),IF(tblCapacityInputs[[#This Row],[source_entity_type]]="phase",INDEX(tblPhases[owner_role_id],MATCH(tblCapacityInputs[[#This Row],[source_entity_id]],tblPhases[phase_id],0)),"source_not_found"))))&amp;"","source_not_found"))</f>
        <v/>
      </c>
      <c r="G39" s="7" t="inlineStr">
        <is>
          <t>PHS-000015</t>
        </is>
      </c>
      <c r="H39" s="7" t="inlineStr">
        <is>
          <t>phase_summary</t>
        </is>
      </c>
      <c r="I39" s="14">
        <f>IF(tblCapacityInputs[[#This Row],[capacity_input_id]]="","",IFERROR(IF(LEFT(tblCapacityInputs[[#This Row],[workload_component_id]],3)="TSK",INDEX(tblTasks[planned_hours],MATCH(tblCapacityInputs[[#This Row],[workload_component_id]],tblTasks[task_id],0))*1,IF(LEFT(tblCapacityInputs[[#This Row],[workload_component_id]],3)="PHS",SUMIFS(tblTasks[planned_hours],tblTasks[phase_id],tblCapacityInputs[[#This Row],[workload_component_id]]),"component_not_found")),"component_not_found"))</f>
        <v/>
      </c>
      <c r="J39" s="14">
        <f>IF(tblCapacityInputs[[#This Row],[capacity_input_id]]="","",IFERROR(IF(LEFT(tblCapacityInputs[[#This Row],[workload_component_id]],3)="TSK",INDEX(tblTasks[actual_hours],MATCH(tblCapacityInputs[[#This Row],[workload_component_id]],tblTasks[task_id],0))*1,IF(LEFT(tblCapacityInputs[[#This Row],[workload_component_id]],3)="PHS",SUMIFS(tblTasks[actual_hours],tblTasks[phase_id],tblCapacityInputs[[#This Row],[workload_component_id]]),"component_not_found")),"component_not_found"))</f>
        <v/>
      </c>
      <c r="K39" s="7" t="inlineStr">
        <is>
          <t>hours</t>
        </is>
      </c>
      <c r="L39" s="7" t="inlineStr">
        <is>
          <t>informational_only</t>
        </is>
      </c>
      <c r="M39" s="7" t="inlineStr">
        <is>
          <t>implementation-operating-system</t>
        </is>
      </c>
      <c r="N39" s="6" t="inlineStr">
        <is>
          <t>9acd25a</t>
        </is>
      </c>
      <c r="O39" s="14">
        <f>IF(tblCapacityInputs[[#This Row],[capacity_input_id]]="","",IFERROR(INDEX(tblProjects[org_stage],MATCH(tblCapacityInputs[[#This Row],[project_id]],tblProjects[project_id],0))&amp;"",""))</f>
        <v/>
      </c>
      <c r="P39" s="14">
        <f>IF(tblCapacityInputs[[#This Row],[capacity_input_id]]="","",AND(NOT(tblCapacityInputs[[#This Row],[duplicate_authoritative_flag]]),ISNUMBER(tblCapacityInputs[[#This Row],[planned_hours]]),ISNUMBER(tblCapacityInputs[[#This Row],[actual_hours]]),tblCapacityInputs[[#This Row],[unit]]="hours",tblCapacityInputs[[#This Row],[project_id]]&lt;&gt;"source_not_found",COUNTIFS(tblLookupEntries[lookup_type],"capacity_inclusion_method",tblLookupEntries[key],tblCapacityInputs[[#This Row],[capacity_inclusion_method]])&gt;0))</f>
        <v/>
      </c>
      <c r="Q39" s="14">
        <f>IF(tblCapacityInputs[[#This Row],[capacity_input_id]]="","",AND(tblCapacityInputs[[#This Row],[capacity_inclusion_method]]="authoritative_workload",COUNTIFS(tblCapacityInputs[workload_component_id],tblCapacityInputs[[#This Row],[workload_component_id]],tblCapacityInputs[capacity_inclusion_method],"authoritative_workload")&gt;1))</f>
        <v/>
      </c>
      <c r="R39" s="14">
        <f>IF(tblCapacityInputs[[#This Row],[capacity_input_id]]="","",IF(AND(tblCapacityInputs[[#This Row],[capacity_inclusion_method]]="authoritative_workload",NOT(tblCapacityInputs[[#This Row],[duplicate_authoritative_flag]]),ISNUMBER(tblCapacityInputs[[#This Row],[planned_hours]])),tblCapacityInputs[[#This Row],[planned_hours]],0))</f>
        <v/>
      </c>
      <c r="S39" s="14">
        <f>IF(tblCapacityInputs[[#This Row],[capacity_input_id]]="","",IF(AND(tblCapacityInputs[[#This Row],[capacity_inclusion_method]]="authoritative_workload",NOT(tblCapacityInputs[[#This Row],[duplicate_authoritative_flag]]),ISNUMBER(tblCapacityInputs[[#This Row],[actual_hours]])),tblCapacityInputs[[#This Row],[actual_hours]],0))</f>
        <v/>
      </c>
    </row>
  </sheetData>
  <dataValidations count="3">
    <dataValidation sqref="D5:D1005" showDropDown="0" showInputMessage="0" showErrorMessage="1" allowBlank="1" errorTitle="Value not in R1 list" error="Choose a value from the R1 source_entity_type list (Lookups tab)." type="list" errorStyle="stop">
      <formula1>=lst_source_entity_type</formula1>
    </dataValidation>
    <dataValidation sqref="H5:H1005" showDropDown="0" showInputMessage="0" showErrorMessage="1" allowBlank="1" errorTitle="Value not in R1 list" error="Choose a value from the R1 workload_type list (Lookups tab)." type="list" errorStyle="stop">
      <formula1>=lst_workload_type</formula1>
    </dataValidation>
    <dataValidation sqref="L5:L1005" showDropDown="0" showInputMessage="0" showErrorMessage="1" allowBlank="1" errorTitle="Value not in R1 list" error="Choose a value from the R1 capacity_inclusion_method list (Lookups tab)." type="list" errorStyle="stop">
      <formula1>=lst_capacity_inclusion_method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2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0" customWidth="1" min="3" max="3"/>
    <col width="12" customWidth="1" min="4" max="4"/>
    <col width="10" customWidth="1" min="5" max="5"/>
    <col width="18" customWidth="1" min="6" max="6"/>
    <col width="13" customWidth="1" min="7" max="7"/>
    <col width="60" customWidth="1" min="8" max="8"/>
    <col width="28" customWidth="1" min="9" max="9"/>
    <col width="10" customWidth="1" min="10" max="10"/>
    <col width="18" customWidth="1" min="11" max="11"/>
    <col width="16" customWidth="1" min="12" max="12"/>
    <col width="14" customWidth="1" min="13" max="13"/>
    <col width="18" customWidth="1" min="14" max="14"/>
    <col width="14" customWidth="1" min="15" max="15"/>
    <col width="16" customWidth="1" min="16" max="16"/>
  </cols>
  <sheetData>
    <row r="1">
      <c r="A1" s="1" t="inlineStr">
        <is>
          <t>Event Log</t>
        </is>
      </c>
    </row>
    <row r="2">
      <c r="A2" s="9" t="inlineStr">
        <is>
          <t>Shared event contract (10 columns). Rows are imported or appended by a person; nothing is appended automatically. Check columns flag problems.</t>
        </is>
      </c>
    </row>
    <row r="3">
      <c r="A3" s="3" t="inlineStr">
        <is>
          <t>Event Log (shared event contract; entered or imported, never auto-appended)</t>
        </is>
      </c>
    </row>
    <row r="4">
      <c r="A4" s="5" t="inlineStr">
        <is>
          <t>event_id</t>
        </is>
      </c>
      <c r="B4" s="5" t="inlineStr">
        <is>
          <t>event_type</t>
        </is>
      </c>
      <c r="C4" s="5" t="inlineStr">
        <is>
          <t>occurred_at</t>
        </is>
      </c>
      <c r="D4" s="5" t="inlineStr">
        <is>
          <t>actor_id</t>
        </is>
      </c>
      <c r="E4" s="5" t="inlineStr">
        <is>
          <t>actor_type</t>
        </is>
      </c>
      <c r="F4" s="5" t="inlineStr">
        <is>
          <t>subject_type</t>
        </is>
      </c>
      <c r="G4" s="5" t="inlineStr">
        <is>
          <t>subject_id</t>
        </is>
      </c>
      <c r="H4" s="5" t="inlineStr">
        <is>
          <t>payload</t>
        </is>
      </c>
      <c r="I4" s="5" t="inlineStr">
        <is>
          <t>source_repo</t>
        </is>
      </c>
      <c r="J4" s="5" t="inlineStr">
        <is>
          <t>schema_version</t>
        </is>
      </c>
      <c r="K4" s="13" t="inlineStr">
        <is>
          <t>event_type_check</t>
        </is>
      </c>
      <c r="L4" s="13" t="inlineStr">
        <is>
          <t>source_repo_check</t>
        </is>
      </c>
      <c r="M4" s="13" t="inlineStr">
        <is>
          <t>actor_check</t>
        </is>
      </c>
      <c r="N4" s="13" t="inlineStr">
        <is>
          <t>subject_check</t>
        </is>
      </c>
      <c r="O4" s="13" t="inlineStr">
        <is>
          <t>payload_check</t>
        </is>
      </c>
      <c r="P4" s="13" t="inlineStr">
        <is>
          <t>request_transition_check</t>
        </is>
      </c>
    </row>
    <row r="5">
      <c r="A5" s="7" t="inlineStr">
        <is>
          <t>EVT-000001</t>
        </is>
      </c>
      <c r="B5" s="7" t="inlineStr">
        <is>
          <t>project.created</t>
        </is>
      </c>
      <c r="C5" s="6" t="inlineStr">
        <is>
          <t>2026-09-08T14:00:00Z</t>
        </is>
      </c>
      <c r="D5" s="7" t="inlineStr">
        <is>
          <t>PER-000001</t>
        </is>
      </c>
      <c r="E5" s="7" t="inlineStr">
        <is>
          <t>human</t>
        </is>
      </c>
      <c r="F5" s="7" t="inlineStr">
        <is>
          <t>project</t>
        </is>
      </c>
      <c r="G5" s="7" t="inlineStr">
        <is>
          <t>PRJ-000001</t>
        </is>
      </c>
      <c r="H5" s="6" t="inlineStr">
        <is>
          <t>{"status": "active", "profile_id": "PRF-000001", "target_launch_date": "2026-12-01"}</t>
        </is>
      </c>
      <c r="I5" s="7" t="inlineStr">
        <is>
          <t>implementation-operating-system</t>
        </is>
      </c>
      <c r="J5" s="6" t="inlineStr">
        <is>
          <t>1.0.0</t>
        </is>
      </c>
      <c r="K5" s="14">
        <f>IF(tblEventLog[[#This Row],[event_id]]="","",IF(COUNTIFS(tblLookupEntries[lookup_type],"event_type",tblLookupEntries[key],tblEventLog[[#This Row],[event_type]])=0,"not_registered_for_v0_1",IF(COUNTIFS(tblLookupEntries[lookup_type],"event_type",tblLookupEntries[key],tblEventLog[[#This Row],[event_type]],tblLookupEntries[display_value],tblEventLog[[#This Row],[subject_type]])=0,"subject_type_mismatch","registered")))</f>
        <v/>
      </c>
      <c r="L5" s="14">
        <f>IF(tblEventLog[[#This Row],[event_id]]="","",IF(tblEventLog[[#This Row],[source_repo]]="implementation-operating-system","catalog_producer","wrong_source_repo"))</f>
        <v/>
      </c>
      <c r="M5" s="14">
        <f>IF(tblEventLog[[#This Row],[event_id]]="","",IF(tblEventLog[[#This Row],[actor_type]]="human",IF(LEFT(tblEventLog[[#This Row],[actor_id]],4)="PER-","valid","human_actor_not_person"),IF(tblEventLog[[#This Row],[actor_type]]="system",IF(COUNTIFS(tblLookupEntries[lookup_type],"rule_id",tblLookupEntries[key],tblEventLog[[#This Row],[actor_id]])&gt;0,"valid","unknown_system_actor"),IF(tblEventLog[[#This Row],[actor_type]]="ai_agent","ai_actor_not_used_in_v0_1","invalid_actor_type"))))</f>
        <v/>
      </c>
      <c r="N5" s="14">
        <f>IF(tblEventLog[[#This Row],[event_id]]="","",IF(LEFT(tblEventLog[[#This Row],[subject_id]],3)="PRJ",IF(COUNTIF(tblProjects[project_id],tblEventLog[[#This Row],[subject_id]])&gt;0,"found","missing"),IF(LEFT(tblEventLog[[#This Row],[subject_id]],3)="PHS",IF(COUNTIF(tblPhases[phase_id],tblEventLog[[#This Row],[subject_id]])&gt;0,"found","missing"),IF(LEFT(tblEventLog[[#This Row],[subject_id]],3)="MLS",IF(COUNTIF(tblMilestones[milestone_id],tblEventLog[[#This Row],[subject_id]])&gt;0,"found","missing"),IF(LEFT(tblEventLog[[#This Row],[subject_id]],3)="TSK",IF(COUNTIF(tblTasks[task_id],tblEventLog[[#This Row],[subject_id]])&gt;0,"found","missing"),IF(LEFT(tblEventLog[[#This Row],[subject_id]],3)="REQ",IF(COUNTIF(tblRequests[request_id],tblEventLog[[#This Row],[subject_id]])&gt;0,"found","missing"),IF(LEFT(tblEventLog[[#This Row],[subject_id]],3)="RSK",IF(COUNTIF(tblRisks[risk_id],tblEventLog[[#This Row],[subject_id]])&gt;0,"found","missing"),IF(LEFT(tblEventLog[[#This Row],[subject_id]],3)="ISS",IF(COUNTIF(tblIssues[issue_id],tblEventLog[[#This Row],[subject_id]])&gt;0,"found","missing"),IF(LEFT(tblEventLog[[#This Row],[subject_id]],3)="RDS",IF(COUNTIF(tblReadinessSummary[readiness_scorecard_id],tblEventLog[[#This Row],[subject_id]])&gt;0,"found","missing"),IF(LEFT(tblEventLog[[#This Row],[subject_id]],3)="GAT",IF(COUNTIF(tblGateAssessments[gate_assessment_id],tblEventLog[[#This Row],[subject_id]])&gt;0,"found","event_only_record"),IF(LEFT(tblEventLog[[#This Row],[subject_id]],3)="HND",IF(COUNTIF(tblHandoffs[handoff_id],tblEventLog[[#This Row],[subject_id]])&gt;0,"found","event_only_record"),"unsupported_subject")))))))))))</f>
        <v/>
      </c>
      <c r="O5" s="14">
        <f>IF(tblEventLog[[#This Row],[event_id]]="","",IF(AND(LEFT(TRIM(tblEventLog[[#This Row],[payload]]),1)="{",RIGHT(TRIM(tblEventLog[[#This Row],[payload]]),1)="}"),"object_text","not_json_object"))</f>
        <v/>
      </c>
      <c r="P5" s="14">
        <f>IF(tblEventLog[[#This Row],[event_id]]="","",IF(tblEventLog[[#This Row],[event_type]]&lt;&gt;"request.status_changed","not_applicable",IF(COUNTIFS(tblLookupEntries[lookup_type],"request_transition",tblLookupEntries[key],IFERROR(MID(tblEventLog[[#This Row],[payload]],FIND("""from_status"": """,tblEventLog[[#This Row],[payload]])+16,FIND("""",tblEventLog[[#This Row],[payload]],FIND("""from_status"": """,tblEventLog[[#This Row],[payload]])+16)-FIND("""from_status"": """,tblEventLog[[#This Row],[payload]])-16),"")&amp;"&gt;"&amp;IFERROR(MID(tblEventLog[[#This Row],[payload]],FIND("""to_status"": """,tblEventLog[[#This Row],[payload]])+14,FIND("""",tblEventLog[[#This Row],[payload]],FIND("""to_status"": """,tblEventLog[[#This Row],[payload]])+14)-FIND("""to_status"": """,tblEventLog[[#This Row],[payload]])-14),""))&gt;0,"legal","illegal")))</f>
        <v/>
      </c>
    </row>
    <row r="6">
      <c r="A6" s="7" t="inlineStr">
        <is>
          <t>EVT-000002</t>
        </is>
      </c>
      <c r="B6" s="7" t="inlineStr">
        <is>
          <t>phase.entered</t>
        </is>
      </c>
      <c r="C6" s="6" t="inlineStr">
        <is>
          <t>2026-09-08T14:05:00Z</t>
        </is>
      </c>
      <c r="D6" s="7" t="inlineStr">
        <is>
          <t>PER-000001</t>
        </is>
      </c>
      <c r="E6" s="7" t="inlineStr">
        <is>
          <t>human</t>
        </is>
      </c>
      <c r="F6" s="7" t="inlineStr">
        <is>
          <t>phase</t>
        </is>
      </c>
      <c r="G6" s="7" t="inlineStr">
        <is>
          <t>PHS-000001</t>
        </is>
      </c>
      <c r="H6" s="6" t="inlineStr">
        <is>
          <t>{"project_id": "PRJ-000001", "phase_key": "initiate"}</t>
        </is>
      </c>
      <c r="I6" s="7" t="inlineStr">
        <is>
          <t>implementation-operating-system</t>
        </is>
      </c>
      <c r="J6" s="6" t="inlineStr">
        <is>
          <t>1.0.0</t>
        </is>
      </c>
      <c r="K6" s="14">
        <f>IF(tblEventLog[[#This Row],[event_id]]="","",IF(COUNTIFS(tblLookupEntries[lookup_type],"event_type",tblLookupEntries[key],tblEventLog[[#This Row],[event_type]])=0,"not_registered_for_v0_1",IF(COUNTIFS(tblLookupEntries[lookup_type],"event_type",tblLookupEntries[key],tblEventLog[[#This Row],[event_type]],tblLookupEntries[display_value],tblEventLog[[#This Row],[subject_type]])=0,"subject_type_mismatch","registered")))</f>
        <v/>
      </c>
      <c r="L6" s="14">
        <f>IF(tblEventLog[[#This Row],[event_id]]="","",IF(tblEventLog[[#This Row],[source_repo]]="implementation-operating-system","catalog_producer","wrong_source_repo"))</f>
        <v/>
      </c>
      <c r="M6" s="14">
        <f>IF(tblEventLog[[#This Row],[event_id]]="","",IF(tblEventLog[[#This Row],[actor_type]]="human",IF(LEFT(tblEventLog[[#This Row],[actor_id]],4)="PER-","valid","human_actor_not_person"),IF(tblEventLog[[#This Row],[actor_type]]="system",IF(COUNTIFS(tblLookupEntries[lookup_type],"rule_id",tblLookupEntries[key],tblEventLog[[#This Row],[actor_id]])&gt;0,"valid","unknown_system_actor"),IF(tblEventLog[[#This Row],[actor_type]]="ai_agent","ai_actor_not_used_in_v0_1","invalid_actor_type"))))</f>
        <v/>
      </c>
      <c r="N6" s="14">
        <f>IF(tblEventLog[[#This Row],[event_id]]="","",IF(LEFT(tblEventLog[[#This Row],[subject_id]],3)="PRJ",IF(COUNTIF(tblProjects[project_id],tblEventLog[[#This Row],[subject_id]])&gt;0,"found","missing"),IF(LEFT(tblEventLog[[#This Row],[subject_id]],3)="PHS",IF(COUNTIF(tblPhases[phase_id],tblEventLog[[#This Row],[subject_id]])&gt;0,"found","missing"),IF(LEFT(tblEventLog[[#This Row],[subject_id]],3)="MLS",IF(COUNTIF(tblMilestones[milestone_id],tblEventLog[[#This Row],[subject_id]])&gt;0,"found","missing"),IF(LEFT(tblEventLog[[#This Row],[subject_id]],3)="TSK",IF(COUNTIF(tblTasks[task_id],tblEventLog[[#This Row],[subject_id]])&gt;0,"found","missing"),IF(LEFT(tblEventLog[[#This Row],[subject_id]],3)="REQ",IF(COUNTIF(tblRequests[request_id],tblEventLog[[#This Row],[subject_id]])&gt;0,"found","missing"),IF(LEFT(tblEventLog[[#This Row],[subject_id]],3)="RSK",IF(COUNTIF(tblRisks[risk_id],tblEventLog[[#This Row],[subject_id]])&gt;0,"found","missing"),IF(LEFT(tblEventLog[[#This Row],[subject_id]],3)="ISS",IF(COUNTIF(tblIssues[issue_id],tblEventLog[[#This Row],[subject_id]])&gt;0,"found","missing"),IF(LEFT(tblEventLog[[#This Row],[subject_id]],3)="RDS",IF(COUNTIF(tblReadinessSummary[readiness_scorecard_id],tblEventLog[[#This Row],[subject_id]])&gt;0,"found","missing"),IF(LEFT(tblEventLog[[#This Row],[subject_id]],3)="GAT",IF(COUNTIF(tblGateAssessments[gate_assessment_id],tblEventLog[[#This Row],[subject_id]])&gt;0,"found","event_only_record"),IF(LEFT(tblEventLog[[#This Row],[subject_id]],3)="HND",IF(COUNTIF(tblHandoffs[handoff_id],tblEventLog[[#This Row],[subject_id]])&gt;0,"found","event_only_record"),"unsupported_subject")))))))))))</f>
        <v/>
      </c>
      <c r="O6" s="14">
        <f>IF(tblEventLog[[#This Row],[event_id]]="","",IF(AND(LEFT(TRIM(tblEventLog[[#This Row],[payload]]),1)="{",RIGHT(TRIM(tblEventLog[[#This Row],[payload]]),1)="}"),"object_text","not_json_object"))</f>
        <v/>
      </c>
      <c r="P6" s="14">
        <f>IF(tblEventLog[[#This Row],[event_id]]="","",IF(tblEventLog[[#This Row],[event_type]]&lt;&gt;"request.status_changed","not_applicable",IF(COUNTIFS(tblLookupEntries[lookup_type],"request_transition",tblLookupEntries[key],IFERROR(MID(tblEventLog[[#This Row],[payload]],FIND("""from_status"": """,tblEventLog[[#This Row],[payload]])+16,FIND("""",tblEventLog[[#This Row],[payload]],FIND("""from_status"": """,tblEventLog[[#This Row],[payload]])+16)-FIND("""from_status"": """,tblEventLog[[#This Row],[payload]])-16),"")&amp;"&gt;"&amp;IFERROR(MID(tblEventLog[[#This Row],[payload]],FIND("""to_status"": """,tblEventLog[[#This Row],[payload]])+14,FIND("""",tblEventLog[[#This Row],[payload]],FIND("""to_status"": """,tblEventLog[[#This Row],[payload]])+14)-FIND("""to_status"": """,tblEventLog[[#This Row],[payload]])-14),""))&gt;0,"legal","illegal")))</f>
        <v/>
      </c>
    </row>
    <row r="7">
      <c r="A7" s="7" t="inlineStr">
        <is>
          <t>EVT-000003</t>
        </is>
      </c>
      <c r="B7" s="7" t="inlineStr">
        <is>
          <t>handoff.completed</t>
        </is>
      </c>
      <c r="C7" s="6" t="inlineStr">
        <is>
          <t>2026-09-08T14:10:00Z</t>
        </is>
      </c>
      <c r="D7" s="7" t="inlineStr">
        <is>
          <t>PER-000001</t>
        </is>
      </c>
      <c r="E7" s="7" t="inlineStr">
        <is>
          <t>human</t>
        </is>
      </c>
      <c r="F7" s="7" t="inlineStr">
        <is>
          <t>handoff</t>
        </is>
      </c>
      <c r="G7" s="7" t="inlineStr">
        <is>
          <t>HND-000001</t>
        </is>
      </c>
      <c r="H7" s="6" t="inlineStr">
        <is>
          <t>{"project_id": "PRJ-000001", "from_role_id": "ROL-000008", "to_role_id": "ROL-000001"}</t>
        </is>
      </c>
      <c r="I7" s="7" t="inlineStr">
        <is>
          <t>implementation-operating-system</t>
        </is>
      </c>
      <c r="J7" s="6" t="inlineStr">
        <is>
          <t>1.0.0</t>
        </is>
      </c>
      <c r="K7" s="14">
        <f>IF(tblEventLog[[#This Row],[event_id]]="","",IF(COUNTIFS(tblLookupEntries[lookup_type],"event_type",tblLookupEntries[key],tblEventLog[[#This Row],[event_type]])=0,"not_registered_for_v0_1",IF(COUNTIFS(tblLookupEntries[lookup_type],"event_type",tblLookupEntries[key],tblEventLog[[#This Row],[event_type]],tblLookupEntries[display_value],tblEventLog[[#This Row],[subject_type]])=0,"subject_type_mismatch","registered")))</f>
        <v/>
      </c>
      <c r="L7" s="14">
        <f>IF(tblEventLog[[#This Row],[event_id]]="","",IF(tblEventLog[[#This Row],[source_repo]]="implementation-operating-system","catalog_producer","wrong_source_repo"))</f>
        <v/>
      </c>
      <c r="M7" s="14">
        <f>IF(tblEventLog[[#This Row],[event_id]]="","",IF(tblEventLog[[#This Row],[actor_type]]="human",IF(LEFT(tblEventLog[[#This Row],[actor_id]],4)="PER-","valid","human_actor_not_person"),IF(tblEventLog[[#This Row],[actor_type]]="system",IF(COUNTIFS(tblLookupEntries[lookup_type],"rule_id",tblLookupEntries[key],tblEventLog[[#This Row],[actor_id]])&gt;0,"valid","unknown_system_actor"),IF(tblEventLog[[#This Row],[actor_type]]="ai_agent","ai_actor_not_used_in_v0_1","invalid_actor_type"))))</f>
        <v/>
      </c>
      <c r="N7" s="14">
        <f>IF(tblEventLog[[#This Row],[event_id]]="","",IF(LEFT(tblEventLog[[#This Row],[subject_id]],3)="PRJ",IF(COUNTIF(tblProjects[project_id],tblEventLog[[#This Row],[subject_id]])&gt;0,"found","missing"),IF(LEFT(tblEventLog[[#This Row],[subject_id]],3)="PHS",IF(COUNTIF(tblPhases[phase_id],tblEventLog[[#This Row],[subject_id]])&gt;0,"found","missing"),IF(LEFT(tblEventLog[[#This Row],[subject_id]],3)="MLS",IF(COUNTIF(tblMilestones[milestone_id],tblEventLog[[#This Row],[subject_id]])&gt;0,"found","missing"),IF(LEFT(tblEventLog[[#This Row],[subject_id]],3)="TSK",IF(COUNTIF(tblTasks[task_id],tblEventLog[[#This Row],[subject_id]])&gt;0,"found","missing"),IF(LEFT(tblEventLog[[#This Row],[subject_id]],3)="REQ",IF(COUNTIF(tblRequests[request_id],tblEventLog[[#This Row],[subject_id]])&gt;0,"found","missing"),IF(LEFT(tblEventLog[[#This Row],[subject_id]],3)="RSK",IF(COUNTIF(tblRisks[risk_id],tblEventLog[[#This Row],[subject_id]])&gt;0,"found","missing"),IF(LEFT(tblEventLog[[#This Row],[subject_id]],3)="ISS",IF(COUNTIF(tblIssues[issue_id],tblEventLog[[#This Row],[subject_id]])&gt;0,"found","missing"),IF(LEFT(tblEventLog[[#This Row],[subject_id]],3)="RDS",IF(COUNTIF(tblReadinessSummary[readiness_scorecard_id],tblEventLog[[#This Row],[subject_id]])&gt;0,"found","missing"),IF(LEFT(tblEventLog[[#This Row],[subject_id]],3)="GAT",IF(COUNTIF(tblGateAssessments[gate_assessment_id],tblEventLog[[#This Row],[subject_id]])&gt;0,"found","event_only_record"),IF(LEFT(tblEventLog[[#This Row],[subject_id]],3)="HND",IF(COUNTIF(tblHandoffs[handoff_id],tblEventLog[[#This Row],[subject_id]])&gt;0,"found","event_only_record"),"unsupported_subject")))))))))))</f>
        <v/>
      </c>
      <c r="O7" s="14">
        <f>IF(tblEventLog[[#This Row],[event_id]]="","",IF(AND(LEFT(TRIM(tblEventLog[[#This Row],[payload]]),1)="{",RIGHT(TRIM(tblEventLog[[#This Row],[payload]]),1)="}"),"object_text","not_json_object"))</f>
        <v/>
      </c>
      <c r="P7" s="14">
        <f>IF(tblEventLog[[#This Row],[event_id]]="","",IF(tblEventLog[[#This Row],[event_type]]&lt;&gt;"request.status_changed","not_applicable",IF(COUNTIFS(tblLookupEntries[lookup_type],"request_transition",tblLookupEntries[key],IFERROR(MID(tblEventLog[[#This Row],[payload]],FIND("""from_status"": """,tblEventLog[[#This Row],[payload]])+16,FIND("""",tblEventLog[[#This Row],[payload]],FIND("""from_status"": """,tblEventLog[[#This Row],[payload]])+16)-FIND("""from_status"": """,tblEventLog[[#This Row],[payload]])-16),"")&amp;"&gt;"&amp;IFERROR(MID(tblEventLog[[#This Row],[payload]],FIND("""to_status"": """,tblEventLog[[#This Row],[payload]])+14,FIND("""",tblEventLog[[#This Row],[payload]],FIND("""to_status"": """,tblEventLog[[#This Row],[payload]])+14)-FIND("""to_status"": """,tblEventLog[[#This Row],[payload]])-14),""))&gt;0,"legal","illegal")))</f>
        <v/>
      </c>
    </row>
    <row r="8">
      <c r="A8" s="7" t="inlineStr">
        <is>
          <t>EVT-000004</t>
        </is>
      </c>
      <c r="B8" s="7" t="inlineStr">
        <is>
          <t>risk.logged</t>
        </is>
      </c>
      <c r="C8" s="6" t="inlineStr">
        <is>
          <t>2026-09-10T15:00:00Z</t>
        </is>
      </c>
      <c r="D8" s="7" t="inlineStr">
        <is>
          <t>PER-000002</t>
        </is>
      </c>
      <c r="E8" s="7" t="inlineStr">
        <is>
          <t>human</t>
        </is>
      </c>
      <c r="F8" s="7" t="inlineStr">
        <is>
          <t>risk</t>
        </is>
      </c>
      <c r="G8" s="7" t="inlineStr">
        <is>
          <t>RSK-000002</t>
        </is>
      </c>
      <c r="H8" s="6" t="inlineStr">
        <is>
          <t>{"project_id": "PRJ-000002", "severity": "sev2", "risk_score": 12}</t>
        </is>
      </c>
      <c r="I8" s="7" t="inlineStr">
        <is>
          <t>implementation-operating-system</t>
        </is>
      </c>
      <c r="J8" s="6" t="inlineStr">
        <is>
          <t>1.0.0</t>
        </is>
      </c>
      <c r="K8" s="14">
        <f>IF(tblEventLog[[#This Row],[event_id]]="","",IF(COUNTIFS(tblLookupEntries[lookup_type],"event_type",tblLookupEntries[key],tblEventLog[[#This Row],[event_type]])=0,"not_registered_for_v0_1",IF(COUNTIFS(tblLookupEntries[lookup_type],"event_type",tblLookupEntries[key],tblEventLog[[#This Row],[event_type]],tblLookupEntries[display_value],tblEventLog[[#This Row],[subject_type]])=0,"subject_type_mismatch","registered")))</f>
        <v/>
      </c>
      <c r="L8" s="14">
        <f>IF(tblEventLog[[#This Row],[event_id]]="","",IF(tblEventLog[[#This Row],[source_repo]]="implementation-operating-system","catalog_producer","wrong_source_repo"))</f>
        <v/>
      </c>
      <c r="M8" s="14">
        <f>IF(tblEventLog[[#This Row],[event_id]]="","",IF(tblEventLog[[#This Row],[actor_type]]="human",IF(LEFT(tblEventLog[[#This Row],[actor_id]],4)="PER-","valid","human_actor_not_person"),IF(tblEventLog[[#This Row],[actor_type]]="system",IF(COUNTIFS(tblLookupEntries[lookup_type],"rule_id",tblLookupEntries[key],tblEventLog[[#This Row],[actor_id]])&gt;0,"valid","unknown_system_actor"),IF(tblEventLog[[#This Row],[actor_type]]="ai_agent","ai_actor_not_used_in_v0_1","invalid_actor_type"))))</f>
        <v/>
      </c>
      <c r="N8" s="14">
        <f>IF(tblEventLog[[#This Row],[event_id]]="","",IF(LEFT(tblEventLog[[#This Row],[subject_id]],3)="PRJ",IF(COUNTIF(tblProjects[project_id],tblEventLog[[#This Row],[subject_id]])&gt;0,"found","missing"),IF(LEFT(tblEventLog[[#This Row],[subject_id]],3)="PHS",IF(COUNTIF(tblPhases[phase_id],tblEventLog[[#This Row],[subject_id]])&gt;0,"found","missing"),IF(LEFT(tblEventLog[[#This Row],[subject_id]],3)="MLS",IF(COUNTIF(tblMilestones[milestone_id],tblEventLog[[#This Row],[subject_id]])&gt;0,"found","missing"),IF(LEFT(tblEventLog[[#This Row],[subject_id]],3)="TSK",IF(COUNTIF(tblTasks[task_id],tblEventLog[[#This Row],[subject_id]])&gt;0,"found","missing"),IF(LEFT(tblEventLog[[#This Row],[subject_id]],3)="REQ",IF(COUNTIF(tblRequests[request_id],tblEventLog[[#This Row],[subject_id]])&gt;0,"found","missing"),IF(LEFT(tblEventLog[[#This Row],[subject_id]],3)="RSK",IF(COUNTIF(tblRisks[risk_id],tblEventLog[[#This Row],[subject_id]])&gt;0,"found","missing"),IF(LEFT(tblEventLog[[#This Row],[subject_id]],3)="ISS",IF(COUNTIF(tblIssues[issue_id],tblEventLog[[#This Row],[subject_id]])&gt;0,"found","missing"),IF(LEFT(tblEventLog[[#This Row],[subject_id]],3)="RDS",IF(COUNTIF(tblReadinessSummary[readiness_scorecard_id],tblEventLog[[#This Row],[subject_id]])&gt;0,"found","missing"),IF(LEFT(tblEventLog[[#This Row],[subject_id]],3)="GAT",IF(COUNTIF(tblGateAssessments[gate_assessment_id],tblEventLog[[#This Row],[subject_id]])&gt;0,"found","event_only_record"),IF(LEFT(tblEventLog[[#This Row],[subject_id]],3)="HND",IF(COUNTIF(tblHandoffs[handoff_id],tblEventLog[[#This Row],[subject_id]])&gt;0,"found","event_only_record"),"unsupported_subject")))))))))))</f>
        <v/>
      </c>
      <c r="O8" s="14">
        <f>IF(tblEventLog[[#This Row],[event_id]]="","",IF(AND(LEFT(TRIM(tblEventLog[[#This Row],[payload]]),1)="{",RIGHT(TRIM(tblEventLog[[#This Row],[payload]]),1)="}"),"object_text","not_json_object"))</f>
        <v/>
      </c>
      <c r="P8" s="14">
        <f>IF(tblEventLog[[#This Row],[event_id]]="","",IF(tblEventLog[[#This Row],[event_type]]&lt;&gt;"request.status_changed","not_applicable",IF(COUNTIFS(tblLookupEntries[lookup_type],"request_transition",tblLookupEntries[key],IFERROR(MID(tblEventLog[[#This Row],[payload]],FIND("""from_status"": """,tblEventLog[[#This Row],[payload]])+16,FIND("""",tblEventLog[[#This Row],[payload]],FIND("""from_status"": """,tblEventLog[[#This Row],[payload]])+16)-FIND("""from_status"": """,tblEventLog[[#This Row],[payload]])-16),"")&amp;"&gt;"&amp;IFERROR(MID(tblEventLog[[#This Row],[payload]],FIND("""to_status"": """,tblEventLog[[#This Row],[payload]])+14,FIND("""",tblEventLog[[#This Row],[payload]],FIND("""to_status"": """,tblEventLog[[#This Row],[payload]])+14)-FIND("""to_status"": """,tblEventLog[[#This Row],[payload]])-14),""))&gt;0,"legal","illegal")))</f>
        <v/>
      </c>
    </row>
    <row r="9">
      <c r="A9" s="7" t="inlineStr">
        <is>
          <t>EVT-000005</t>
        </is>
      </c>
      <c r="B9" s="7" t="inlineStr">
        <is>
          <t>task.status_changed</t>
        </is>
      </c>
      <c r="C9" s="6" t="inlineStr">
        <is>
          <t>2026-09-10T17:00:00Z</t>
        </is>
      </c>
      <c r="D9" s="7" t="inlineStr">
        <is>
          <t>PER-000001</t>
        </is>
      </c>
      <c r="E9" s="7" t="inlineStr">
        <is>
          <t>human</t>
        </is>
      </c>
      <c r="F9" s="7" t="inlineStr">
        <is>
          <t>task</t>
        </is>
      </c>
      <c r="G9" s="7" t="inlineStr">
        <is>
          <t>TSK-000001</t>
        </is>
      </c>
      <c r="H9" s="6" t="inlineStr">
        <is>
          <t>{"project_id": "PRJ-000001", "from_status": "in_progress", "to_status": "completed"}</t>
        </is>
      </c>
      <c r="I9" s="7" t="inlineStr">
        <is>
          <t>implementation-operating-system</t>
        </is>
      </c>
      <c r="J9" s="6" t="inlineStr">
        <is>
          <t>1.0.0</t>
        </is>
      </c>
      <c r="K9" s="14">
        <f>IF(tblEventLog[[#This Row],[event_id]]="","",IF(COUNTIFS(tblLookupEntries[lookup_type],"event_type",tblLookupEntries[key],tblEventLog[[#This Row],[event_type]])=0,"not_registered_for_v0_1",IF(COUNTIFS(tblLookupEntries[lookup_type],"event_type",tblLookupEntries[key],tblEventLog[[#This Row],[event_type]],tblLookupEntries[display_value],tblEventLog[[#This Row],[subject_type]])=0,"subject_type_mismatch","registered")))</f>
        <v/>
      </c>
      <c r="L9" s="14">
        <f>IF(tblEventLog[[#This Row],[event_id]]="","",IF(tblEventLog[[#This Row],[source_repo]]="implementation-operating-system","catalog_producer","wrong_source_repo"))</f>
        <v/>
      </c>
      <c r="M9" s="14">
        <f>IF(tblEventLog[[#This Row],[event_id]]="","",IF(tblEventLog[[#This Row],[actor_type]]="human",IF(LEFT(tblEventLog[[#This Row],[actor_id]],4)="PER-","valid","human_actor_not_person"),IF(tblEventLog[[#This Row],[actor_type]]="system",IF(COUNTIFS(tblLookupEntries[lookup_type],"rule_id",tblLookupEntries[key],tblEventLog[[#This Row],[actor_id]])&gt;0,"valid","unknown_system_actor"),IF(tblEventLog[[#This Row],[actor_type]]="ai_agent","ai_actor_not_used_in_v0_1","invalid_actor_type"))))</f>
        <v/>
      </c>
      <c r="N9" s="14">
        <f>IF(tblEventLog[[#This Row],[event_id]]="","",IF(LEFT(tblEventLog[[#This Row],[subject_id]],3)="PRJ",IF(COUNTIF(tblProjects[project_id],tblEventLog[[#This Row],[subject_id]])&gt;0,"found","missing"),IF(LEFT(tblEventLog[[#This Row],[subject_id]],3)="PHS",IF(COUNTIF(tblPhases[phase_id],tblEventLog[[#This Row],[subject_id]])&gt;0,"found","missing"),IF(LEFT(tblEventLog[[#This Row],[subject_id]],3)="MLS",IF(COUNTIF(tblMilestones[milestone_id],tblEventLog[[#This Row],[subject_id]])&gt;0,"found","missing"),IF(LEFT(tblEventLog[[#This Row],[subject_id]],3)="TSK",IF(COUNTIF(tblTasks[task_id],tblEventLog[[#This Row],[subject_id]])&gt;0,"found","missing"),IF(LEFT(tblEventLog[[#This Row],[subject_id]],3)="REQ",IF(COUNTIF(tblRequests[request_id],tblEventLog[[#This Row],[subject_id]])&gt;0,"found","missing"),IF(LEFT(tblEventLog[[#This Row],[subject_id]],3)="RSK",IF(COUNTIF(tblRisks[risk_id],tblEventLog[[#This Row],[subject_id]])&gt;0,"found","missing"),IF(LEFT(tblEventLog[[#This Row],[subject_id]],3)="ISS",IF(COUNTIF(tblIssues[issue_id],tblEventLog[[#This Row],[subject_id]])&gt;0,"found","missing"),IF(LEFT(tblEventLog[[#This Row],[subject_id]],3)="RDS",IF(COUNTIF(tblReadinessSummary[readiness_scorecard_id],tblEventLog[[#This Row],[subject_id]])&gt;0,"found","missing"),IF(LEFT(tblEventLog[[#This Row],[subject_id]],3)="GAT",IF(COUNTIF(tblGateAssessments[gate_assessment_id],tblEventLog[[#This Row],[subject_id]])&gt;0,"found","event_only_record"),IF(LEFT(tblEventLog[[#This Row],[subject_id]],3)="HND",IF(COUNTIF(tblHandoffs[handoff_id],tblEventLog[[#This Row],[subject_id]])&gt;0,"found","event_only_record"),"unsupported_subject")))))))))))</f>
        <v/>
      </c>
      <c r="O9" s="14">
        <f>IF(tblEventLog[[#This Row],[event_id]]="","",IF(AND(LEFT(TRIM(tblEventLog[[#This Row],[payload]]),1)="{",RIGHT(TRIM(tblEventLog[[#This Row],[payload]]),1)="}"),"object_text","not_json_object"))</f>
        <v/>
      </c>
      <c r="P9" s="14">
        <f>IF(tblEventLog[[#This Row],[event_id]]="","",IF(tblEventLog[[#This Row],[event_type]]&lt;&gt;"request.status_changed","not_applicable",IF(COUNTIFS(tblLookupEntries[lookup_type],"request_transition",tblLookupEntries[key],IFERROR(MID(tblEventLog[[#This Row],[payload]],FIND("""from_status"": """,tblEventLog[[#This Row],[payload]])+16,FIND("""",tblEventLog[[#This Row],[payload]],FIND("""from_status"": """,tblEventLog[[#This Row],[payload]])+16)-FIND("""from_status"": """,tblEventLog[[#This Row],[payload]])-16),"")&amp;"&gt;"&amp;IFERROR(MID(tblEventLog[[#This Row],[payload]],FIND("""to_status"": """,tblEventLog[[#This Row],[payload]])+14,FIND("""",tblEventLog[[#This Row],[payload]],FIND("""to_status"": """,tblEventLog[[#This Row],[payload]])+14)-FIND("""to_status"": """,tblEventLog[[#This Row],[payload]])-14),""))&gt;0,"legal","illegal")))</f>
        <v/>
      </c>
    </row>
    <row r="10">
      <c r="A10" s="7" t="inlineStr">
        <is>
          <t>EVT-000006</t>
        </is>
      </c>
      <c r="B10" s="7" t="inlineStr">
        <is>
          <t>milestone.achieved</t>
        </is>
      </c>
      <c r="C10" s="6" t="inlineStr">
        <is>
          <t>2026-09-10T20:30:00Z</t>
        </is>
      </c>
      <c r="D10" s="7" t="inlineStr">
        <is>
          <t>PER-000001</t>
        </is>
      </c>
      <c r="E10" s="7" t="inlineStr">
        <is>
          <t>human</t>
        </is>
      </c>
      <c r="F10" s="7" t="inlineStr">
        <is>
          <t>milestone</t>
        </is>
      </c>
      <c r="G10" s="7" t="inlineStr">
        <is>
          <t>MLS-000001</t>
        </is>
      </c>
      <c r="H10" s="6" t="inlineStr">
        <is>
          <t>{"project_id": "PRJ-000001", "achieved_date": "2026-09-10"}</t>
        </is>
      </c>
      <c r="I10" s="7" t="inlineStr">
        <is>
          <t>implementation-operating-system</t>
        </is>
      </c>
      <c r="J10" s="6" t="inlineStr">
        <is>
          <t>1.0.0</t>
        </is>
      </c>
      <c r="K10" s="14">
        <f>IF(tblEventLog[[#This Row],[event_id]]="","",IF(COUNTIFS(tblLookupEntries[lookup_type],"event_type",tblLookupEntries[key],tblEventLog[[#This Row],[event_type]])=0,"not_registered_for_v0_1",IF(COUNTIFS(tblLookupEntries[lookup_type],"event_type",tblLookupEntries[key],tblEventLog[[#This Row],[event_type]],tblLookupEntries[display_value],tblEventLog[[#This Row],[subject_type]])=0,"subject_type_mismatch","registered")))</f>
        <v/>
      </c>
      <c r="L10" s="14">
        <f>IF(tblEventLog[[#This Row],[event_id]]="","",IF(tblEventLog[[#This Row],[source_repo]]="implementation-operating-system","catalog_producer","wrong_source_repo"))</f>
        <v/>
      </c>
      <c r="M10" s="14">
        <f>IF(tblEventLog[[#This Row],[event_id]]="","",IF(tblEventLog[[#This Row],[actor_type]]="human",IF(LEFT(tblEventLog[[#This Row],[actor_id]],4)="PER-","valid","human_actor_not_person"),IF(tblEventLog[[#This Row],[actor_type]]="system",IF(COUNTIFS(tblLookupEntries[lookup_type],"rule_id",tblLookupEntries[key],tblEventLog[[#This Row],[actor_id]])&gt;0,"valid","unknown_system_actor"),IF(tblEventLog[[#This Row],[actor_type]]="ai_agent","ai_actor_not_used_in_v0_1","invalid_actor_type"))))</f>
        <v/>
      </c>
      <c r="N10" s="14">
        <f>IF(tblEventLog[[#This Row],[event_id]]="","",IF(LEFT(tblEventLog[[#This Row],[subject_id]],3)="PRJ",IF(COUNTIF(tblProjects[project_id],tblEventLog[[#This Row],[subject_id]])&gt;0,"found","missing"),IF(LEFT(tblEventLog[[#This Row],[subject_id]],3)="PHS",IF(COUNTIF(tblPhases[phase_id],tblEventLog[[#This Row],[subject_id]])&gt;0,"found","missing"),IF(LEFT(tblEventLog[[#This Row],[subject_id]],3)="MLS",IF(COUNTIF(tblMilestones[milestone_id],tblEventLog[[#This Row],[subject_id]])&gt;0,"found","missing"),IF(LEFT(tblEventLog[[#This Row],[subject_id]],3)="TSK",IF(COUNTIF(tblTasks[task_id],tblEventLog[[#This Row],[subject_id]])&gt;0,"found","missing"),IF(LEFT(tblEventLog[[#This Row],[subject_id]],3)="REQ",IF(COUNTIF(tblRequests[request_id],tblEventLog[[#This Row],[subject_id]])&gt;0,"found","missing"),IF(LEFT(tblEventLog[[#This Row],[subject_id]],3)="RSK",IF(COUNTIF(tblRisks[risk_id],tblEventLog[[#This Row],[subject_id]])&gt;0,"found","missing"),IF(LEFT(tblEventLog[[#This Row],[subject_id]],3)="ISS",IF(COUNTIF(tblIssues[issue_id],tblEventLog[[#This Row],[subject_id]])&gt;0,"found","missing"),IF(LEFT(tblEventLog[[#This Row],[subject_id]],3)="RDS",IF(COUNTIF(tblReadinessSummary[readiness_scorecard_id],tblEventLog[[#This Row],[subject_id]])&gt;0,"found","missing"),IF(LEFT(tblEventLog[[#This Row],[subject_id]],3)="GAT",IF(COUNTIF(tblGateAssessments[gate_assessment_id],tblEventLog[[#This Row],[subject_id]])&gt;0,"found","event_only_record"),IF(LEFT(tblEventLog[[#This Row],[subject_id]],3)="HND",IF(COUNTIF(tblHandoffs[handoff_id],tblEventLog[[#This Row],[subject_id]])&gt;0,"found","event_only_record"),"unsupported_subject")))))))))))</f>
        <v/>
      </c>
      <c r="O10" s="14">
        <f>IF(tblEventLog[[#This Row],[event_id]]="","",IF(AND(LEFT(TRIM(tblEventLog[[#This Row],[payload]]),1)="{",RIGHT(TRIM(tblEventLog[[#This Row],[payload]]),1)="}"),"object_text","not_json_object"))</f>
        <v/>
      </c>
      <c r="P10" s="14">
        <f>IF(tblEventLog[[#This Row],[event_id]]="","",IF(tblEventLog[[#This Row],[event_type]]&lt;&gt;"request.status_changed","not_applicable",IF(COUNTIFS(tblLookupEntries[lookup_type],"request_transition",tblLookupEntries[key],IFERROR(MID(tblEventLog[[#This Row],[payload]],FIND("""from_status"": """,tblEventLog[[#This Row],[payload]])+16,FIND("""",tblEventLog[[#This Row],[payload]],FIND("""from_status"": """,tblEventLog[[#This Row],[payload]])+16)-FIND("""from_status"": """,tblEventLog[[#This Row],[payload]])-16),"")&amp;"&gt;"&amp;IFERROR(MID(tblEventLog[[#This Row],[payload]],FIND("""to_status"": """,tblEventLog[[#This Row],[payload]])+14,FIND("""",tblEventLog[[#This Row],[payload]],FIND("""to_status"": """,tblEventLog[[#This Row],[payload]])+14)-FIND("""to_status"": """,tblEventLog[[#This Row],[payload]])-14),""))&gt;0,"legal","illegal")))</f>
        <v/>
      </c>
    </row>
    <row r="11">
      <c r="A11" s="7" t="inlineStr">
        <is>
          <t>EVT-000007</t>
        </is>
      </c>
      <c r="B11" s="7" t="inlineStr">
        <is>
          <t>gate.assessed</t>
        </is>
      </c>
      <c r="C11" s="6" t="inlineStr">
        <is>
          <t>2026-09-11T13:30:00Z</t>
        </is>
      </c>
      <c r="D11" s="7" t="inlineStr">
        <is>
          <t>PER-000003</t>
        </is>
      </c>
      <c r="E11" s="7" t="inlineStr">
        <is>
          <t>human</t>
        </is>
      </c>
      <c r="F11" s="7" t="inlineStr">
        <is>
          <t>gate_assessment</t>
        </is>
      </c>
      <c r="G11" s="7" t="inlineStr">
        <is>
          <t>GAT-000003</t>
        </is>
      </c>
      <c r="H11" s="6" t="inlineStr">
        <is>
          <t>{"project_id": "PRJ-000003", "phase_key": "validate", "outcome": "pass", "assessor_id": "PER-000003"}</t>
        </is>
      </c>
      <c r="I11" s="7" t="inlineStr">
        <is>
          <t>implementation-operating-system</t>
        </is>
      </c>
      <c r="J11" s="6" t="inlineStr">
        <is>
          <t>1.0.0</t>
        </is>
      </c>
      <c r="K11" s="14">
        <f>IF(tblEventLog[[#This Row],[event_id]]="","",IF(COUNTIFS(tblLookupEntries[lookup_type],"event_type",tblLookupEntries[key],tblEventLog[[#This Row],[event_type]])=0,"not_registered_for_v0_1",IF(COUNTIFS(tblLookupEntries[lookup_type],"event_type",tblLookupEntries[key],tblEventLog[[#This Row],[event_type]],tblLookupEntries[display_value],tblEventLog[[#This Row],[subject_type]])=0,"subject_type_mismatch","registered")))</f>
        <v/>
      </c>
      <c r="L11" s="14">
        <f>IF(tblEventLog[[#This Row],[event_id]]="","",IF(tblEventLog[[#This Row],[source_repo]]="implementation-operating-system","catalog_producer","wrong_source_repo"))</f>
        <v/>
      </c>
      <c r="M11" s="14">
        <f>IF(tblEventLog[[#This Row],[event_id]]="","",IF(tblEventLog[[#This Row],[actor_type]]="human",IF(LEFT(tblEventLog[[#This Row],[actor_id]],4)="PER-","valid","human_actor_not_person"),IF(tblEventLog[[#This Row],[actor_type]]="system",IF(COUNTIFS(tblLookupEntries[lookup_type],"rule_id",tblLookupEntries[key],tblEventLog[[#This Row],[actor_id]])&gt;0,"valid","unknown_system_actor"),IF(tblEventLog[[#This Row],[actor_type]]="ai_agent","ai_actor_not_used_in_v0_1","invalid_actor_type"))))</f>
        <v/>
      </c>
      <c r="N11" s="14">
        <f>IF(tblEventLog[[#This Row],[event_id]]="","",IF(LEFT(tblEventLog[[#This Row],[subject_id]],3)="PRJ",IF(COUNTIF(tblProjects[project_id],tblEventLog[[#This Row],[subject_id]])&gt;0,"found","missing"),IF(LEFT(tblEventLog[[#This Row],[subject_id]],3)="PHS",IF(COUNTIF(tblPhases[phase_id],tblEventLog[[#This Row],[subject_id]])&gt;0,"found","missing"),IF(LEFT(tblEventLog[[#This Row],[subject_id]],3)="MLS",IF(COUNTIF(tblMilestones[milestone_id],tblEventLog[[#This Row],[subject_id]])&gt;0,"found","missing"),IF(LEFT(tblEventLog[[#This Row],[subject_id]],3)="TSK",IF(COUNTIF(tblTasks[task_id],tblEventLog[[#This Row],[subject_id]])&gt;0,"found","missing"),IF(LEFT(tblEventLog[[#This Row],[subject_id]],3)="REQ",IF(COUNTIF(tblRequests[request_id],tblEventLog[[#This Row],[subject_id]])&gt;0,"found","missing"),IF(LEFT(tblEventLog[[#This Row],[subject_id]],3)="RSK",IF(COUNTIF(tblRisks[risk_id],tblEventLog[[#This Row],[subject_id]])&gt;0,"found","missing"),IF(LEFT(tblEventLog[[#This Row],[subject_id]],3)="ISS",IF(COUNTIF(tblIssues[issue_id],tblEventLog[[#This Row],[subject_id]])&gt;0,"found","missing"),IF(LEFT(tblEventLog[[#This Row],[subject_id]],3)="RDS",IF(COUNTIF(tblReadinessSummary[readiness_scorecard_id],tblEventLog[[#This Row],[subject_id]])&gt;0,"found","missing"),IF(LEFT(tblEventLog[[#This Row],[subject_id]],3)="GAT",IF(COUNTIF(tblGateAssessments[gate_assessment_id],tblEventLog[[#This Row],[subject_id]])&gt;0,"found","event_only_record"),IF(LEFT(tblEventLog[[#This Row],[subject_id]],3)="HND",IF(COUNTIF(tblHandoffs[handoff_id],tblEventLog[[#This Row],[subject_id]])&gt;0,"found","event_only_record"),"unsupported_subject")))))))))))</f>
        <v/>
      </c>
      <c r="O11" s="14">
        <f>IF(tblEventLog[[#This Row],[event_id]]="","",IF(AND(LEFT(TRIM(tblEventLog[[#This Row],[payload]]),1)="{",RIGHT(TRIM(tblEventLog[[#This Row],[payload]]),1)="}"),"object_text","not_json_object"))</f>
        <v/>
      </c>
      <c r="P11" s="14">
        <f>IF(tblEventLog[[#This Row],[event_id]]="","",IF(tblEventLog[[#This Row],[event_type]]&lt;&gt;"request.status_changed","not_applicable",IF(COUNTIFS(tblLookupEntries[lookup_type],"request_transition",tblLookupEntries[key],IFERROR(MID(tblEventLog[[#This Row],[payload]],FIND("""from_status"": """,tblEventLog[[#This Row],[payload]])+16,FIND("""",tblEventLog[[#This Row],[payload]],FIND("""from_status"": """,tblEventLog[[#This Row],[payload]])+16)-FIND("""from_status"": """,tblEventLog[[#This Row],[payload]])-16),"")&amp;"&gt;"&amp;IFERROR(MID(tblEventLog[[#This Row],[payload]],FIND("""to_status"": """,tblEventLog[[#This Row],[payload]])+14,FIND("""",tblEventLog[[#This Row],[payload]],FIND("""to_status"": """,tblEventLog[[#This Row],[payload]])+14)-FIND("""to_status"": """,tblEventLog[[#This Row],[payload]])-14),""))&gt;0,"legal","illegal")))</f>
        <v/>
      </c>
    </row>
    <row r="12">
      <c r="A12" s="7" t="inlineStr">
        <is>
          <t>EVT-000008</t>
        </is>
      </c>
      <c r="B12" s="7" t="inlineStr">
        <is>
          <t>phase.exited</t>
        </is>
      </c>
      <c r="C12" s="6" t="inlineStr">
        <is>
          <t>2026-09-11T14:00:00Z</t>
        </is>
      </c>
      <c r="D12" s="7" t="inlineStr">
        <is>
          <t>PER-000003</t>
        </is>
      </c>
      <c r="E12" s="7" t="inlineStr">
        <is>
          <t>human</t>
        </is>
      </c>
      <c r="F12" s="7" t="inlineStr">
        <is>
          <t>phase</t>
        </is>
      </c>
      <c r="G12" s="7" t="inlineStr">
        <is>
          <t>PHS-000013</t>
        </is>
      </c>
      <c r="H12" s="6" t="inlineStr">
        <is>
          <t>{"project_id": "PRJ-000003", "phase_key": "validate", "gate_assessment_id": "GAT-000003"}</t>
        </is>
      </c>
      <c r="I12" s="7" t="inlineStr">
        <is>
          <t>implementation-operating-system</t>
        </is>
      </c>
      <c r="J12" s="6" t="inlineStr">
        <is>
          <t>1.0.0</t>
        </is>
      </c>
      <c r="K12" s="14">
        <f>IF(tblEventLog[[#This Row],[event_id]]="","",IF(COUNTIFS(tblLookupEntries[lookup_type],"event_type",tblLookupEntries[key],tblEventLog[[#This Row],[event_type]])=0,"not_registered_for_v0_1",IF(COUNTIFS(tblLookupEntries[lookup_type],"event_type",tblLookupEntries[key],tblEventLog[[#This Row],[event_type]],tblLookupEntries[display_value],tblEventLog[[#This Row],[subject_type]])=0,"subject_type_mismatch","registered")))</f>
        <v/>
      </c>
      <c r="L12" s="14">
        <f>IF(tblEventLog[[#This Row],[event_id]]="","",IF(tblEventLog[[#This Row],[source_repo]]="implementation-operating-system","catalog_producer","wrong_source_repo"))</f>
        <v/>
      </c>
      <c r="M12" s="14">
        <f>IF(tblEventLog[[#This Row],[event_id]]="","",IF(tblEventLog[[#This Row],[actor_type]]="human",IF(LEFT(tblEventLog[[#This Row],[actor_id]],4)="PER-","valid","human_actor_not_person"),IF(tblEventLog[[#This Row],[actor_type]]="system",IF(COUNTIFS(tblLookupEntries[lookup_type],"rule_id",tblLookupEntries[key],tblEventLog[[#This Row],[actor_id]])&gt;0,"valid","unknown_system_actor"),IF(tblEventLog[[#This Row],[actor_type]]="ai_agent","ai_actor_not_used_in_v0_1","invalid_actor_type"))))</f>
        <v/>
      </c>
      <c r="N12" s="14">
        <f>IF(tblEventLog[[#This Row],[event_id]]="","",IF(LEFT(tblEventLog[[#This Row],[subject_id]],3)="PRJ",IF(COUNTIF(tblProjects[project_id],tblEventLog[[#This Row],[subject_id]])&gt;0,"found","missing"),IF(LEFT(tblEventLog[[#This Row],[subject_id]],3)="PHS",IF(COUNTIF(tblPhases[phase_id],tblEventLog[[#This Row],[subject_id]])&gt;0,"found","missing"),IF(LEFT(tblEventLog[[#This Row],[subject_id]],3)="MLS",IF(COUNTIF(tblMilestones[milestone_id],tblEventLog[[#This Row],[subject_id]])&gt;0,"found","missing"),IF(LEFT(tblEventLog[[#This Row],[subject_id]],3)="TSK",IF(COUNTIF(tblTasks[task_id],tblEventLog[[#This Row],[subject_id]])&gt;0,"found","missing"),IF(LEFT(tblEventLog[[#This Row],[subject_id]],3)="REQ",IF(COUNTIF(tblRequests[request_id],tblEventLog[[#This Row],[subject_id]])&gt;0,"found","missing"),IF(LEFT(tblEventLog[[#This Row],[subject_id]],3)="RSK",IF(COUNTIF(tblRisks[risk_id],tblEventLog[[#This Row],[subject_id]])&gt;0,"found","missing"),IF(LEFT(tblEventLog[[#This Row],[subject_id]],3)="ISS",IF(COUNTIF(tblIssues[issue_id],tblEventLog[[#This Row],[subject_id]])&gt;0,"found","missing"),IF(LEFT(tblEventLog[[#This Row],[subject_id]],3)="RDS",IF(COUNTIF(tblReadinessSummary[readiness_scorecard_id],tblEventLog[[#This Row],[subject_id]])&gt;0,"found","missing"),IF(LEFT(tblEventLog[[#This Row],[subject_id]],3)="GAT",IF(COUNTIF(tblGateAssessments[gate_assessment_id],tblEventLog[[#This Row],[subject_id]])&gt;0,"found","event_only_record"),IF(LEFT(tblEventLog[[#This Row],[subject_id]],3)="HND",IF(COUNTIF(tblHandoffs[handoff_id],tblEventLog[[#This Row],[subject_id]])&gt;0,"found","event_only_record"),"unsupported_subject")))))))))))</f>
        <v/>
      </c>
      <c r="O12" s="14">
        <f>IF(tblEventLog[[#This Row],[event_id]]="","",IF(AND(LEFT(TRIM(tblEventLog[[#This Row],[payload]]),1)="{",RIGHT(TRIM(tblEventLog[[#This Row],[payload]]),1)="}"),"object_text","not_json_object"))</f>
        <v/>
      </c>
      <c r="P12" s="14">
        <f>IF(tblEventLog[[#This Row],[event_id]]="","",IF(tblEventLog[[#This Row],[event_type]]&lt;&gt;"request.status_changed","not_applicable",IF(COUNTIFS(tblLookupEntries[lookup_type],"request_transition",tblLookupEntries[key],IFERROR(MID(tblEventLog[[#This Row],[payload]],FIND("""from_status"": """,tblEventLog[[#This Row],[payload]])+16,FIND("""",tblEventLog[[#This Row],[payload]],FIND("""from_status"": """,tblEventLog[[#This Row],[payload]])+16)-FIND("""from_status"": """,tblEventLog[[#This Row],[payload]])-16),"")&amp;"&gt;"&amp;IFERROR(MID(tblEventLog[[#This Row],[payload]],FIND("""to_status"": """,tblEventLog[[#This Row],[payload]])+14,FIND("""",tblEventLog[[#This Row],[payload]],FIND("""to_status"": """,tblEventLog[[#This Row],[payload]])+14)-FIND("""to_status"": """,tblEventLog[[#This Row],[payload]])-14),""))&gt;0,"legal","illegal")))</f>
        <v/>
      </c>
    </row>
    <row r="13">
      <c r="A13" s="7" t="inlineStr">
        <is>
          <t>EVT-000009</t>
        </is>
      </c>
      <c r="B13" s="7" t="inlineStr">
        <is>
          <t>phase.entered</t>
        </is>
      </c>
      <c r="C13" s="6" t="inlineStr">
        <is>
          <t>2026-09-11T14:05:00Z</t>
        </is>
      </c>
      <c r="D13" s="7" t="inlineStr">
        <is>
          <t>PER-000003</t>
        </is>
      </c>
      <c r="E13" s="7" t="inlineStr">
        <is>
          <t>human</t>
        </is>
      </c>
      <c r="F13" s="7" t="inlineStr">
        <is>
          <t>phase</t>
        </is>
      </c>
      <c r="G13" s="7" t="inlineStr">
        <is>
          <t>PHS-000014</t>
        </is>
      </c>
      <c r="H13" s="6" t="inlineStr">
        <is>
          <t>{"project_id": "PRJ-000003", "phase_key": "enable"}</t>
        </is>
      </c>
      <c r="I13" s="7" t="inlineStr">
        <is>
          <t>implementation-operating-system</t>
        </is>
      </c>
      <c r="J13" s="6" t="inlineStr">
        <is>
          <t>1.0.0</t>
        </is>
      </c>
      <c r="K13" s="14">
        <f>IF(tblEventLog[[#This Row],[event_id]]="","",IF(COUNTIFS(tblLookupEntries[lookup_type],"event_type",tblLookupEntries[key],tblEventLog[[#This Row],[event_type]])=0,"not_registered_for_v0_1",IF(COUNTIFS(tblLookupEntries[lookup_type],"event_type",tblLookupEntries[key],tblEventLog[[#This Row],[event_type]],tblLookupEntries[display_value],tblEventLog[[#This Row],[subject_type]])=0,"subject_type_mismatch","registered")))</f>
        <v/>
      </c>
      <c r="L13" s="14">
        <f>IF(tblEventLog[[#This Row],[event_id]]="","",IF(tblEventLog[[#This Row],[source_repo]]="implementation-operating-system","catalog_producer","wrong_source_repo"))</f>
        <v/>
      </c>
      <c r="M13" s="14">
        <f>IF(tblEventLog[[#This Row],[event_id]]="","",IF(tblEventLog[[#This Row],[actor_type]]="human",IF(LEFT(tblEventLog[[#This Row],[actor_id]],4)="PER-","valid","human_actor_not_person"),IF(tblEventLog[[#This Row],[actor_type]]="system",IF(COUNTIFS(tblLookupEntries[lookup_type],"rule_id",tblLookupEntries[key],tblEventLog[[#This Row],[actor_id]])&gt;0,"valid","unknown_system_actor"),IF(tblEventLog[[#This Row],[actor_type]]="ai_agent","ai_actor_not_used_in_v0_1","invalid_actor_type"))))</f>
        <v/>
      </c>
      <c r="N13" s="14">
        <f>IF(tblEventLog[[#This Row],[event_id]]="","",IF(LEFT(tblEventLog[[#This Row],[subject_id]],3)="PRJ",IF(COUNTIF(tblProjects[project_id],tblEventLog[[#This Row],[subject_id]])&gt;0,"found","missing"),IF(LEFT(tblEventLog[[#This Row],[subject_id]],3)="PHS",IF(COUNTIF(tblPhases[phase_id],tblEventLog[[#This Row],[subject_id]])&gt;0,"found","missing"),IF(LEFT(tblEventLog[[#This Row],[subject_id]],3)="MLS",IF(COUNTIF(tblMilestones[milestone_id],tblEventLog[[#This Row],[subject_id]])&gt;0,"found","missing"),IF(LEFT(tblEventLog[[#This Row],[subject_id]],3)="TSK",IF(COUNTIF(tblTasks[task_id],tblEventLog[[#This Row],[subject_id]])&gt;0,"found","missing"),IF(LEFT(tblEventLog[[#This Row],[subject_id]],3)="REQ",IF(COUNTIF(tblRequests[request_id],tblEventLog[[#This Row],[subject_id]])&gt;0,"found","missing"),IF(LEFT(tblEventLog[[#This Row],[subject_id]],3)="RSK",IF(COUNTIF(tblRisks[risk_id],tblEventLog[[#This Row],[subject_id]])&gt;0,"found","missing"),IF(LEFT(tblEventLog[[#This Row],[subject_id]],3)="ISS",IF(COUNTIF(tblIssues[issue_id],tblEventLog[[#This Row],[subject_id]])&gt;0,"found","missing"),IF(LEFT(tblEventLog[[#This Row],[subject_id]],3)="RDS",IF(COUNTIF(tblReadinessSummary[readiness_scorecard_id],tblEventLog[[#This Row],[subject_id]])&gt;0,"found","missing"),IF(LEFT(tblEventLog[[#This Row],[subject_id]],3)="GAT",IF(COUNTIF(tblGateAssessments[gate_assessment_id],tblEventLog[[#This Row],[subject_id]])&gt;0,"found","event_only_record"),IF(LEFT(tblEventLog[[#This Row],[subject_id]],3)="HND",IF(COUNTIF(tblHandoffs[handoff_id],tblEventLog[[#This Row],[subject_id]])&gt;0,"found","event_only_record"),"unsupported_subject")))))))))))</f>
        <v/>
      </c>
      <c r="O13" s="14">
        <f>IF(tblEventLog[[#This Row],[event_id]]="","",IF(AND(LEFT(TRIM(tblEventLog[[#This Row],[payload]]),1)="{",RIGHT(TRIM(tblEventLog[[#This Row],[payload]]),1)="}"),"object_text","not_json_object"))</f>
        <v/>
      </c>
      <c r="P13" s="14">
        <f>IF(tblEventLog[[#This Row],[event_id]]="","",IF(tblEventLog[[#This Row],[event_type]]&lt;&gt;"request.status_changed","not_applicable",IF(COUNTIFS(tblLookupEntries[lookup_type],"request_transition",tblLookupEntries[key],IFERROR(MID(tblEventLog[[#This Row],[payload]],FIND("""from_status"": """,tblEventLog[[#This Row],[payload]])+16,FIND("""",tblEventLog[[#This Row],[payload]],FIND("""from_status"": """,tblEventLog[[#This Row],[payload]])+16)-FIND("""from_status"": """,tblEventLog[[#This Row],[payload]])-16),"")&amp;"&gt;"&amp;IFERROR(MID(tblEventLog[[#This Row],[payload]],FIND("""to_status"": """,tblEventLog[[#This Row],[payload]])+14,FIND("""",tblEventLog[[#This Row],[payload]],FIND("""to_status"": """,tblEventLog[[#This Row],[payload]])+14)-FIND("""to_status"": """,tblEventLog[[#This Row],[payload]])-14),""))&gt;0,"legal","illegal")))</f>
        <v/>
      </c>
    </row>
    <row r="14">
      <c r="A14" s="7" t="inlineStr">
        <is>
          <t>EVT-000010</t>
        </is>
      </c>
      <c r="B14" s="7" t="inlineStr">
        <is>
          <t>gate.assessed</t>
        </is>
      </c>
      <c r="C14" s="6" t="inlineStr">
        <is>
          <t>2026-09-11T14:30:00Z</t>
        </is>
      </c>
      <c r="D14" s="7" t="inlineStr">
        <is>
          <t>PER-000002</t>
        </is>
      </c>
      <c r="E14" s="7" t="inlineStr">
        <is>
          <t>human</t>
        </is>
      </c>
      <c r="F14" s="7" t="inlineStr">
        <is>
          <t>gate_assessment</t>
        </is>
      </c>
      <c r="G14" s="7" t="inlineStr">
        <is>
          <t>GAT-000002</t>
        </is>
      </c>
      <c r="H14" s="6" t="inlineStr">
        <is>
          <t>{"project_id": "PRJ-000002", "phase_key": "design", "outcome": "pass_with_conditions", "assessor_id": "PER-000002", "conditions": ["RSK-000002"]}</t>
        </is>
      </c>
      <c r="I14" s="7" t="inlineStr">
        <is>
          <t>implementation-operating-system</t>
        </is>
      </c>
      <c r="J14" s="6" t="inlineStr">
        <is>
          <t>1.0.0</t>
        </is>
      </c>
      <c r="K14" s="14">
        <f>IF(tblEventLog[[#This Row],[event_id]]="","",IF(COUNTIFS(tblLookupEntries[lookup_type],"event_type",tblLookupEntries[key],tblEventLog[[#This Row],[event_type]])=0,"not_registered_for_v0_1",IF(COUNTIFS(tblLookupEntries[lookup_type],"event_type",tblLookupEntries[key],tblEventLog[[#This Row],[event_type]],tblLookupEntries[display_value],tblEventLog[[#This Row],[subject_type]])=0,"subject_type_mismatch","registered")))</f>
        <v/>
      </c>
      <c r="L14" s="14">
        <f>IF(tblEventLog[[#This Row],[event_id]]="","",IF(tblEventLog[[#This Row],[source_repo]]="implementation-operating-system","catalog_producer","wrong_source_repo"))</f>
        <v/>
      </c>
      <c r="M14" s="14">
        <f>IF(tblEventLog[[#This Row],[event_id]]="","",IF(tblEventLog[[#This Row],[actor_type]]="human",IF(LEFT(tblEventLog[[#This Row],[actor_id]],4)="PER-","valid","human_actor_not_person"),IF(tblEventLog[[#This Row],[actor_type]]="system",IF(COUNTIFS(tblLookupEntries[lookup_type],"rule_id",tblLookupEntries[key],tblEventLog[[#This Row],[actor_id]])&gt;0,"valid","unknown_system_actor"),IF(tblEventLog[[#This Row],[actor_type]]="ai_agent","ai_actor_not_used_in_v0_1","invalid_actor_type"))))</f>
        <v/>
      </c>
      <c r="N14" s="14">
        <f>IF(tblEventLog[[#This Row],[event_id]]="","",IF(LEFT(tblEventLog[[#This Row],[subject_id]],3)="PRJ",IF(COUNTIF(tblProjects[project_id],tblEventLog[[#This Row],[subject_id]])&gt;0,"found","missing"),IF(LEFT(tblEventLog[[#This Row],[subject_id]],3)="PHS",IF(COUNTIF(tblPhases[phase_id],tblEventLog[[#This Row],[subject_id]])&gt;0,"found","missing"),IF(LEFT(tblEventLog[[#This Row],[subject_id]],3)="MLS",IF(COUNTIF(tblMilestones[milestone_id],tblEventLog[[#This Row],[subject_id]])&gt;0,"found","missing"),IF(LEFT(tblEventLog[[#This Row],[subject_id]],3)="TSK",IF(COUNTIF(tblTasks[task_id],tblEventLog[[#This Row],[subject_id]])&gt;0,"found","missing"),IF(LEFT(tblEventLog[[#This Row],[subject_id]],3)="REQ",IF(COUNTIF(tblRequests[request_id],tblEventLog[[#This Row],[subject_id]])&gt;0,"found","missing"),IF(LEFT(tblEventLog[[#This Row],[subject_id]],3)="RSK",IF(COUNTIF(tblRisks[risk_id],tblEventLog[[#This Row],[subject_id]])&gt;0,"found","missing"),IF(LEFT(tblEventLog[[#This Row],[subject_id]],3)="ISS",IF(COUNTIF(tblIssues[issue_id],tblEventLog[[#This Row],[subject_id]])&gt;0,"found","missing"),IF(LEFT(tblEventLog[[#This Row],[subject_id]],3)="RDS",IF(COUNTIF(tblReadinessSummary[readiness_scorecard_id],tblEventLog[[#This Row],[subject_id]])&gt;0,"found","missing"),IF(LEFT(tblEventLog[[#This Row],[subject_id]],3)="GAT",IF(COUNTIF(tblGateAssessments[gate_assessment_id],tblEventLog[[#This Row],[subject_id]])&gt;0,"found","event_only_record"),IF(LEFT(tblEventLog[[#This Row],[subject_id]],3)="HND",IF(COUNTIF(tblHandoffs[handoff_id],tblEventLog[[#This Row],[subject_id]])&gt;0,"found","event_only_record"),"unsupported_subject")))))))))))</f>
        <v/>
      </c>
      <c r="O14" s="14">
        <f>IF(tblEventLog[[#This Row],[event_id]]="","",IF(AND(LEFT(TRIM(tblEventLog[[#This Row],[payload]]),1)="{",RIGHT(TRIM(tblEventLog[[#This Row],[payload]]),1)="}"),"object_text","not_json_object"))</f>
        <v/>
      </c>
      <c r="P14" s="14">
        <f>IF(tblEventLog[[#This Row],[event_id]]="","",IF(tblEventLog[[#This Row],[event_type]]&lt;&gt;"request.status_changed","not_applicable",IF(COUNTIFS(tblLookupEntries[lookup_type],"request_transition",tblLookupEntries[key],IFERROR(MID(tblEventLog[[#This Row],[payload]],FIND("""from_status"": """,tblEventLog[[#This Row],[payload]])+16,FIND("""",tblEventLog[[#This Row],[payload]],FIND("""from_status"": """,tblEventLog[[#This Row],[payload]])+16)-FIND("""from_status"": """,tblEventLog[[#This Row],[payload]])-16),"")&amp;"&gt;"&amp;IFERROR(MID(tblEventLog[[#This Row],[payload]],FIND("""to_status"": """,tblEventLog[[#This Row],[payload]])+14,FIND("""",tblEventLog[[#This Row],[payload]],FIND("""to_status"": """,tblEventLog[[#This Row],[payload]])+14)-FIND("""to_status"": """,tblEventLog[[#This Row],[payload]])-14),""))&gt;0,"legal","illegal")))</f>
        <v/>
      </c>
    </row>
    <row r="15">
      <c r="A15" s="7" t="inlineStr">
        <is>
          <t>EVT-000011</t>
        </is>
      </c>
      <c r="B15" s="7" t="inlineStr">
        <is>
          <t>phase.exited</t>
        </is>
      </c>
      <c r="C15" s="6" t="inlineStr">
        <is>
          <t>2026-09-11T15:00:00Z</t>
        </is>
      </c>
      <c r="D15" s="7" t="inlineStr">
        <is>
          <t>PER-000002</t>
        </is>
      </c>
      <c r="E15" s="7" t="inlineStr">
        <is>
          <t>human</t>
        </is>
      </c>
      <c r="F15" s="7" t="inlineStr">
        <is>
          <t>phase</t>
        </is>
      </c>
      <c r="G15" s="7" t="inlineStr">
        <is>
          <t>PHS-000005</t>
        </is>
      </c>
      <c r="H15" s="6" t="inlineStr">
        <is>
          <t>{"project_id": "PRJ-000002", "phase_key": "design", "gate_assessment_id": "GAT-000002"}</t>
        </is>
      </c>
      <c r="I15" s="7" t="inlineStr">
        <is>
          <t>implementation-operating-system</t>
        </is>
      </c>
      <c r="J15" s="6" t="inlineStr">
        <is>
          <t>1.0.0</t>
        </is>
      </c>
      <c r="K15" s="14">
        <f>IF(tblEventLog[[#This Row],[event_id]]="","",IF(COUNTIFS(tblLookupEntries[lookup_type],"event_type",tblLookupEntries[key],tblEventLog[[#This Row],[event_type]])=0,"not_registered_for_v0_1",IF(COUNTIFS(tblLookupEntries[lookup_type],"event_type",tblLookupEntries[key],tblEventLog[[#This Row],[event_type]],tblLookupEntries[display_value],tblEventLog[[#This Row],[subject_type]])=0,"subject_type_mismatch","registered")))</f>
        <v/>
      </c>
      <c r="L15" s="14">
        <f>IF(tblEventLog[[#This Row],[event_id]]="","",IF(tblEventLog[[#This Row],[source_repo]]="implementation-operating-system","catalog_producer","wrong_source_repo"))</f>
        <v/>
      </c>
      <c r="M15" s="14">
        <f>IF(tblEventLog[[#This Row],[event_id]]="","",IF(tblEventLog[[#This Row],[actor_type]]="human",IF(LEFT(tblEventLog[[#This Row],[actor_id]],4)="PER-","valid","human_actor_not_person"),IF(tblEventLog[[#This Row],[actor_type]]="system",IF(COUNTIFS(tblLookupEntries[lookup_type],"rule_id",tblLookupEntries[key],tblEventLog[[#This Row],[actor_id]])&gt;0,"valid","unknown_system_actor"),IF(tblEventLog[[#This Row],[actor_type]]="ai_agent","ai_actor_not_used_in_v0_1","invalid_actor_type"))))</f>
        <v/>
      </c>
      <c r="N15" s="14">
        <f>IF(tblEventLog[[#This Row],[event_id]]="","",IF(LEFT(tblEventLog[[#This Row],[subject_id]],3)="PRJ",IF(COUNTIF(tblProjects[project_id],tblEventLog[[#This Row],[subject_id]])&gt;0,"found","missing"),IF(LEFT(tblEventLog[[#This Row],[subject_id]],3)="PHS",IF(COUNTIF(tblPhases[phase_id],tblEventLog[[#This Row],[subject_id]])&gt;0,"found","missing"),IF(LEFT(tblEventLog[[#This Row],[subject_id]],3)="MLS",IF(COUNTIF(tblMilestones[milestone_id],tblEventLog[[#This Row],[subject_id]])&gt;0,"found","missing"),IF(LEFT(tblEventLog[[#This Row],[subject_id]],3)="TSK",IF(COUNTIF(tblTasks[task_id],tblEventLog[[#This Row],[subject_id]])&gt;0,"found","missing"),IF(LEFT(tblEventLog[[#This Row],[subject_id]],3)="REQ",IF(COUNTIF(tblRequests[request_id],tblEventLog[[#This Row],[subject_id]])&gt;0,"found","missing"),IF(LEFT(tblEventLog[[#This Row],[subject_id]],3)="RSK",IF(COUNTIF(tblRisks[risk_id],tblEventLog[[#This Row],[subject_id]])&gt;0,"found","missing"),IF(LEFT(tblEventLog[[#This Row],[subject_id]],3)="ISS",IF(COUNTIF(tblIssues[issue_id],tblEventLog[[#This Row],[subject_id]])&gt;0,"found","missing"),IF(LEFT(tblEventLog[[#This Row],[subject_id]],3)="RDS",IF(COUNTIF(tblReadinessSummary[readiness_scorecard_id],tblEventLog[[#This Row],[subject_id]])&gt;0,"found","missing"),IF(LEFT(tblEventLog[[#This Row],[subject_id]],3)="GAT",IF(COUNTIF(tblGateAssessments[gate_assessment_id],tblEventLog[[#This Row],[subject_id]])&gt;0,"found","event_only_record"),IF(LEFT(tblEventLog[[#This Row],[subject_id]],3)="HND",IF(COUNTIF(tblHandoffs[handoff_id],tblEventLog[[#This Row],[subject_id]])&gt;0,"found","event_only_record"),"unsupported_subject")))))))))))</f>
        <v/>
      </c>
      <c r="O15" s="14">
        <f>IF(tblEventLog[[#This Row],[event_id]]="","",IF(AND(LEFT(TRIM(tblEventLog[[#This Row],[payload]]),1)="{",RIGHT(TRIM(tblEventLog[[#This Row],[payload]]),1)="}"),"object_text","not_json_object"))</f>
        <v/>
      </c>
      <c r="P15" s="14">
        <f>IF(tblEventLog[[#This Row],[event_id]]="","",IF(tblEventLog[[#This Row],[event_type]]&lt;&gt;"request.status_changed","not_applicable",IF(COUNTIFS(tblLookupEntries[lookup_type],"request_transition",tblLookupEntries[key],IFERROR(MID(tblEventLog[[#This Row],[payload]],FIND("""from_status"": """,tblEventLog[[#This Row],[payload]])+16,FIND("""",tblEventLog[[#This Row],[payload]],FIND("""from_status"": """,tblEventLog[[#This Row],[payload]])+16)-FIND("""from_status"": """,tblEventLog[[#This Row],[payload]])-16),"")&amp;"&gt;"&amp;IFERROR(MID(tblEventLog[[#This Row],[payload]],FIND("""to_status"": """,tblEventLog[[#This Row],[payload]])+14,FIND("""",tblEventLog[[#This Row],[payload]],FIND("""to_status"": """,tblEventLog[[#This Row],[payload]])+14)-FIND("""to_status"": """,tblEventLog[[#This Row],[payload]])-14),""))&gt;0,"legal","illegal")))</f>
        <v/>
      </c>
    </row>
    <row r="16">
      <c r="A16" s="7" t="inlineStr">
        <is>
          <t>EVT-000012</t>
        </is>
      </c>
      <c r="B16" s="7" t="inlineStr">
        <is>
          <t>phase.entered</t>
        </is>
      </c>
      <c r="C16" s="6" t="inlineStr">
        <is>
          <t>2026-09-11T15:05:00Z</t>
        </is>
      </c>
      <c r="D16" s="7" t="inlineStr">
        <is>
          <t>PER-000002</t>
        </is>
      </c>
      <c r="E16" s="7" t="inlineStr">
        <is>
          <t>human</t>
        </is>
      </c>
      <c r="F16" s="7" t="inlineStr">
        <is>
          <t>phase</t>
        </is>
      </c>
      <c r="G16" s="7" t="inlineStr">
        <is>
          <t>PHS-000006</t>
        </is>
      </c>
      <c r="H16" s="6" t="inlineStr">
        <is>
          <t>{"project_id": "PRJ-000002", "phase_key": "build"}</t>
        </is>
      </c>
      <c r="I16" s="7" t="inlineStr">
        <is>
          <t>implementation-operating-system</t>
        </is>
      </c>
      <c r="J16" s="6" t="inlineStr">
        <is>
          <t>1.0.0</t>
        </is>
      </c>
      <c r="K16" s="14">
        <f>IF(tblEventLog[[#This Row],[event_id]]="","",IF(COUNTIFS(tblLookupEntries[lookup_type],"event_type",tblLookupEntries[key],tblEventLog[[#This Row],[event_type]])=0,"not_registered_for_v0_1",IF(COUNTIFS(tblLookupEntries[lookup_type],"event_type",tblLookupEntries[key],tblEventLog[[#This Row],[event_type]],tblLookupEntries[display_value],tblEventLog[[#This Row],[subject_type]])=0,"subject_type_mismatch","registered")))</f>
        <v/>
      </c>
      <c r="L16" s="14">
        <f>IF(tblEventLog[[#This Row],[event_id]]="","",IF(tblEventLog[[#This Row],[source_repo]]="implementation-operating-system","catalog_producer","wrong_source_repo"))</f>
        <v/>
      </c>
      <c r="M16" s="14">
        <f>IF(tblEventLog[[#This Row],[event_id]]="","",IF(tblEventLog[[#This Row],[actor_type]]="human",IF(LEFT(tblEventLog[[#This Row],[actor_id]],4)="PER-","valid","human_actor_not_person"),IF(tblEventLog[[#This Row],[actor_type]]="system",IF(COUNTIFS(tblLookupEntries[lookup_type],"rule_id",tblLookupEntries[key],tblEventLog[[#This Row],[actor_id]])&gt;0,"valid","unknown_system_actor"),IF(tblEventLog[[#This Row],[actor_type]]="ai_agent","ai_actor_not_used_in_v0_1","invalid_actor_type"))))</f>
        <v/>
      </c>
      <c r="N16" s="14">
        <f>IF(tblEventLog[[#This Row],[event_id]]="","",IF(LEFT(tblEventLog[[#This Row],[subject_id]],3)="PRJ",IF(COUNTIF(tblProjects[project_id],tblEventLog[[#This Row],[subject_id]])&gt;0,"found","missing"),IF(LEFT(tblEventLog[[#This Row],[subject_id]],3)="PHS",IF(COUNTIF(tblPhases[phase_id],tblEventLog[[#This Row],[subject_id]])&gt;0,"found","missing"),IF(LEFT(tblEventLog[[#This Row],[subject_id]],3)="MLS",IF(COUNTIF(tblMilestones[milestone_id],tblEventLog[[#This Row],[subject_id]])&gt;0,"found","missing"),IF(LEFT(tblEventLog[[#This Row],[subject_id]],3)="TSK",IF(COUNTIF(tblTasks[task_id],tblEventLog[[#This Row],[subject_id]])&gt;0,"found","missing"),IF(LEFT(tblEventLog[[#This Row],[subject_id]],3)="REQ",IF(COUNTIF(tblRequests[request_id],tblEventLog[[#This Row],[subject_id]])&gt;0,"found","missing"),IF(LEFT(tblEventLog[[#This Row],[subject_id]],3)="RSK",IF(COUNTIF(tblRisks[risk_id],tblEventLog[[#This Row],[subject_id]])&gt;0,"found","missing"),IF(LEFT(tblEventLog[[#This Row],[subject_id]],3)="ISS",IF(COUNTIF(tblIssues[issue_id],tblEventLog[[#This Row],[subject_id]])&gt;0,"found","missing"),IF(LEFT(tblEventLog[[#This Row],[subject_id]],3)="RDS",IF(COUNTIF(tblReadinessSummary[readiness_scorecard_id],tblEventLog[[#This Row],[subject_id]])&gt;0,"found","missing"),IF(LEFT(tblEventLog[[#This Row],[subject_id]],3)="GAT",IF(COUNTIF(tblGateAssessments[gate_assessment_id],tblEventLog[[#This Row],[subject_id]])&gt;0,"found","event_only_record"),IF(LEFT(tblEventLog[[#This Row],[subject_id]],3)="HND",IF(COUNTIF(tblHandoffs[handoff_id],tblEventLog[[#This Row],[subject_id]])&gt;0,"found","event_only_record"),"unsupported_subject")))))))))))</f>
        <v/>
      </c>
      <c r="O16" s="14">
        <f>IF(tblEventLog[[#This Row],[event_id]]="","",IF(AND(LEFT(TRIM(tblEventLog[[#This Row],[payload]]),1)="{",RIGHT(TRIM(tblEventLog[[#This Row],[payload]]),1)="}"),"object_text","not_json_object"))</f>
        <v/>
      </c>
      <c r="P16" s="14">
        <f>IF(tblEventLog[[#This Row],[event_id]]="","",IF(tblEventLog[[#This Row],[event_type]]&lt;&gt;"request.status_changed","not_applicable",IF(COUNTIFS(tblLookupEntries[lookup_type],"request_transition",tblLookupEntries[key],IFERROR(MID(tblEventLog[[#This Row],[payload]],FIND("""from_status"": """,tblEventLog[[#This Row],[payload]])+16,FIND("""",tblEventLog[[#This Row],[payload]],FIND("""from_status"": """,tblEventLog[[#This Row],[payload]])+16)-FIND("""from_status"": """,tblEventLog[[#This Row],[payload]])-16),"")&amp;"&gt;"&amp;IFERROR(MID(tblEventLog[[#This Row],[payload]],FIND("""to_status"": """,tblEventLog[[#This Row],[payload]])+14,FIND("""",tblEventLog[[#This Row],[payload]],FIND("""to_status"": """,tblEventLog[[#This Row],[payload]])+14)-FIND("""to_status"": """,tblEventLog[[#This Row],[payload]])-14),""))&gt;0,"legal","illegal")))</f>
        <v/>
      </c>
    </row>
    <row r="17">
      <c r="A17" s="7" t="inlineStr">
        <is>
          <t>EVT-000013</t>
        </is>
      </c>
      <c r="B17" s="7" t="inlineStr">
        <is>
          <t>gate.assessed</t>
        </is>
      </c>
      <c r="C17" s="6" t="inlineStr">
        <is>
          <t>2026-09-15T15:45:00Z</t>
        </is>
      </c>
      <c r="D17" s="7" t="inlineStr">
        <is>
          <t>PER-000001</t>
        </is>
      </c>
      <c r="E17" s="7" t="inlineStr">
        <is>
          <t>human</t>
        </is>
      </c>
      <c r="F17" s="7" t="inlineStr">
        <is>
          <t>gate_assessment</t>
        </is>
      </c>
      <c r="G17" s="7" t="inlineStr">
        <is>
          <t>GAT-000001</t>
        </is>
      </c>
      <c r="H17" s="6" t="inlineStr">
        <is>
          <t>{"project_id": "PRJ-000001", "phase_key": "initiate", "outcome": "pass", "assessor_id": "PER-000001"}</t>
        </is>
      </c>
      <c r="I17" s="7" t="inlineStr">
        <is>
          <t>implementation-operating-system</t>
        </is>
      </c>
      <c r="J17" s="6" t="inlineStr">
        <is>
          <t>1.0.0</t>
        </is>
      </c>
      <c r="K17" s="14">
        <f>IF(tblEventLog[[#This Row],[event_id]]="","",IF(COUNTIFS(tblLookupEntries[lookup_type],"event_type",tblLookupEntries[key],tblEventLog[[#This Row],[event_type]])=0,"not_registered_for_v0_1",IF(COUNTIFS(tblLookupEntries[lookup_type],"event_type",tblLookupEntries[key],tblEventLog[[#This Row],[event_type]],tblLookupEntries[display_value],tblEventLog[[#This Row],[subject_type]])=0,"subject_type_mismatch","registered")))</f>
        <v/>
      </c>
      <c r="L17" s="14">
        <f>IF(tblEventLog[[#This Row],[event_id]]="","",IF(tblEventLog[[#This Row],[source_repo]]="implementation-operating-system","catalog_producer","wrong_source_repo"))</f>
        <v/>
      </c>
      <c r="M17" s="14">
        <f>IF(tblEventLog[[#This Row],[event_id]]="","",IF(tblEventLog[[#This Row],[actor_type]]="human",IF(LEFT(tblEventLog[[#This Row],[actor_id]],4)="PER-","valid","human_actor_not_person"),IF(tblEventLog[[#This Row],[actor_type]]="system",IF(COUNTIFS(tblLookupEntries[lookup_type],"rule_id",tblLookupEntries[key],tblEventLog[[#This Row],[actor_id]])&gt;0,"valid","unknown_system_actor"),IF(tblEventLog[[#This Row],[actor_type]]="ai_agent","ai_actor_not_used_in_v0_1","invalid_actor_type"))))</f>
        <v/>
      </c>
      <c r="N17" s="14">
        <f>IF(tblEventLog[[#This Row],[event_id]]="","",IF(LEFT(tblEventLog[[#This Row],[subject_id]],3)="PRJ",IF(COUNTIF(tblProjects[project_id],tblEventLog[[#This Row],[subject_id]])&gt;0,"found","missing"),IF(LEFT(tblEventLog[[#This Row],[subject_id]],3)="PHS",IF(COUNTIF(tblPhases[phase_id],tblEventLog[[#This Row],[subject_id]])&gt;0,"found","missing"),IF(LEFT(tblEventLog[[#This Row],[subject_id]],3)="MLS",IF(COUNTIF(tblMilestones[milestone_id],tblEventLog[[#This Row],[subject_id]])&gt;0,"found","missing"),IF(LEFT(tblEventLog[[#This Row],[subject_id]],3)="TSK",IF(COUNTIF(tblTasks[task_id],tblEventLog[[#This Row],[subject_id]])&gt;0,"found","missing"),IF(LEFT(tblEventLog[[#This Row],[subject_id]],3)="REQ",IF(COUNTIF(tblRequests[request_id],tblEventLog[[#This Row],[subject_id]])&gt;0,"found","missing"),IF(LEFT(tblEventLog[[#This Row],[subject_id]],3)="RSK",IF(COUNTIF(tblRisks[risk_id],tblEventLog[[#This Row],[subject_id]])&gt;0,"found","missing"),IF(LEFT(tblEventLog[[#This Row],[subject_id]],3)="ISS",IF(COUNTIF(tblIssues[issue_id],tblEventLog[[#This Row],[subject_id]])&gt;0,"found","missing"),IF(LEFT(tblEventLog[[#This Row],[subject_id]],3)="RDS",IF(COUNTIF(tblReadinessSummary[readiness_scorecard_id],tblEventLog[[#This Row],[subject_id]])&gt;0,"found","missing"),IF(LEFT(tblEventLog[[#This Row],[subject_id]],3)="GAT",IF(COUNTIF(tblGateAssessments[gate_assessment_id],tblEventLog[[#This Row],[subject_id]])&gt;0,"found","event_only_record"),IF(LEFT(tblEventLog[[#This Row],[subject_id]],3)="HND",IF(COUNTIF(tblHandoffs[handoff_id],tblEventLog[[#This Row],[subject_id]])&gt;0,"found","event_only_record"),"unsupported_subject")))))))))))</f>
        <v/>
      </c>
      <c r="O17" s="14">
        <f>IF(tblEventLog[[#This Row],[event_id]]="","",IF(AND(LEFT(TRIM(tblEventLog[[#This Row],[payload]]),1)="{",RIGHT(TRIM(tblEventLog[[#This Row],[payload]]),1)="}"),"object_text","not_json_object"))</f>
        <v/>
      </c>
      <c r="P17" s="14">
        <f>IF(tblEventLog[[#This Row],[event_id]]="","",IF(tblEventLog[[#This Row],[event_type]]&lt;&gt;"request.status_changed","not_applicable",IF(COUNTIFS(tblLookupEntries[lookup_type],"request_transition",tblLookupEntries[key],IFERROR(MID(tblEventLog[[#This Row],[payload]],FIND("""from_status"": """,tblEventLog[[#This Row],[payload]])+16,FIND("""",tblEventLog[[#This Row],[payload]],FIND("""from_status"": """,tblEventLog[[#This Row],[payload]])+16)-FIND("""from_status"": """,tblEventLog[[#This Row],[payload]])-16),"")&amp;"&gt;"&amp;IFERROR(MID(tblEventLog[[#This Row],[payload]],FIND("""to_status"": """,tblEventLog[[#This Row],[payload]])+14,FIND("""",tblEventLog[[#This Row],[payload]],FIND("""to_status"": """,tblEventLog[[#This Row],[payload]])+14)-FIND("""to_status"": """,tblEventLog[[#This Row],[payload]])-14),""))&gt;0,"legal","illegal")))</f>
        <v/>
      </c>
    </row>
    <row r="18">
      <c r="A18" s="7" t="inlineStr">
        <is>
          <t>EVT-000014</t>
        </is>
      </c>
      <c r="B18" s="7" t="inlineStr">
        <is>
          <t>phase.exited</t>
        </is>
      </c>
      <c r="C18" s="6" t="inlineStr">
        <is>
          <t>2026-09-15T16:00:00Z</t>
        </is>
      </c>
      <c r="D18" s="7" t="inlineStr">
        <is>
          <t>PER-000001</t>
        </is>
      </c>
      <c r="E18" s="7" t="inlineStr">
        <is>
          <t>human</t>
        </is>
      </c>
      <c r="F18" s="7" t="inlineStr">
        <is>
          <t>phase</t>
        </is>
      </c>
      <c r="G18" s="7" t="inlineStr">
        <is>
          <t>PHS-000001</t>
        </is>
      </c>
      <c r="H18" s="6" t="inlineStr">
        <is>
          <t>{"project_id": "PRJ-000001", "phase_key": "initiate", "gate_assessment_id": "GAT-000001"}</t>
        </is>
      </c>
      <c r="I18" s="7" t="inlineStr">
        <is>
          <t>implementation-operating-system</t>
        </is>
      </c>
      <c r="J18" s="6" t="inlineStr">
        <is>
          <t>1.0.0</t>
        </is>
      </c>
      <c r="K18" s="14">
        <f>IF(tblEventLog[[#This Row],[event_id]]="","",IF(COUNTIFS(tblLookupEntries[lookup_type],"event_type",tblLookupEntries[key],tblEventLog[[#This Row],[event_type]])=0,"not_registered_for_v0_1",IF(COUNTIFS(tblLookupEntries[lookup_type],"event_type",tblLookupEntries[key],tblEventLog[[#This Row],[event_type]],tblLookupEntries[display_value],tblEventLog[[#This Row],[subject_type]])=0,"subject_type_mismatch","registered")))</f>
        <v/>
      </c>
      <c r="L18" s="14">
        <f>IF(tblEventLog[[#This Row],[event_id]]="","",IF(tblEventLog[[#This Row],[source_repo]]="implementation-operating-system","catalog_producer","wrong_source_repo"))</f>
        <v/>
      </c>
      <c r="M18" s="14">
        <f>IF(tblEventLog[[#This Row],[event_id]]="","",IF(tblEventLog[[#This Row],[actor_type]]="human",IF(LEFT(tblEventLog[[#This Row],[actor_id]],4)="PER-","valid","human_actor_not_person"),IF(tblEventLog[[#This Row],[actor_type]]="system",IF(COUNTIFS(tblLookupEntries[lookup_type],"rule_id",tblLookupEntries[key],tblEventLog[[#This Row],[actor_id]])&gt;0,"valid","unknown_system_actor"),IF(tblEventLog[[#This Row],[actor_type]]="ai_agent","ai_actor_not_used_in_v0_1","invalid_actor_type"))))</f>
        <v/>
      </c>
      <c r="N18" s="14">
        <f>IF(tblEventLog[[#This Row],[event_id]]="","",IF(LEFT(tblEventLog[[#This Row],[subject_id]],3)="PRJ",IF(COUNTIF(tblProjects[project_id],tblEventLog[[#This Row],[subject_id]])&gt;0,"found","missing"),IF(LEFT(tblEventLog[[#This Row],[subject_id]],3)="PHS",IF(COUNTIF(tblPhases[phase_id],tblEventLog[[#This Row],[subject_id]])&gt;0,"found","missing"),IF(LEFT(tblEventLog[[#This Row],[subject_id]],3)="MLS",IF(COUNTIF(tblMilestones[milestone_id],tblEventLog[[#This Row],[subject_id]])&gt;0,"found","missing"),IF(LEFT(tblEventLog[[#This Row],[subject_id]],3)="TSK",IF(COUNTIF(tblTasks[task_id],tblEventLog[[#This Row],[subject_id]])&gt;0,"found","missing"),IF(LEFT(tblEventLog[[#This Row],[subject_id]],3)="REQ",IF(COUNTIF(tblRequests[request_id],tblEventLog[[#This Row],[subject_id]])&gt;0,"found","missing"),IF(LEFT(tblEventLog[[#This Row],[subject_id]],3)="RSK",IF(COUNTIF(tblRisks[risk_id],tblEventLog[[#This Row],[subject_id]])&gt;0,"found","missing"),IF(LEFT(tblEventLog[[#This Row],[subject_id]],3)="ISS",IF(COUNTIF(tblIssues[issue_id],tblEventLog[[#This Row],[subject_id]])&gt;0,"found","missing"),IF(LEFT(tblEventLog[[#This Row],[subject_id]],3)="RDS",IF(COUNTIF(tblReadinessSummary[readiness_scorecard_id],tblEventLog[[#This Row],[subject_id]])&gt;0,"found","missing"),IF(LEFT(tblEventLog[[#This Row],[subject_id]],3)="GAT",IF(COUNTIF(tblGateAssessments[gate_assessment_id],tblEventLog[[#This Row],[subject_id]])&gt;0,"found","event_only_record"),IF(LEFT(tblEventLog[[#This Row],[subject_id]],3)="HND",IF(COUNTIF(tblHandoffs[handoff_id],tblEventLog[[#This Row],[subject_id]])&gt;0,"found","event_only_record"),"unsupported_subject")))))))))))</f>
        <v/>
      </c>
      <c r="O18" s="14">
        <f>IF(tblEventLog[[#This Row],[event_id]]="","",IF(AND(LEFT(TRIM(tblEventLog[[#This Row],[payload]]),1)="{",RIGHT(TRIM(tblEventLog[[#This Row],[payload]]),1)="}"),"object_text","not_json_object"))</f>
        <v/>
      </c>
      <c r="P18" s="14">
        <f>IF(tblEventLog[[#This Row],[event_id]]="","",IF(tblEventLog[[#This Row],[event_type]]&lt;&gt;"request.status_changed","not_applicable",IF(COUNTIFS(tblLookupEntries[lookup_type],"request_transition",tblLookupEntries[key],IFERROR(MID(tblEventLog[[#This Row],[payload]],FIND("""from_status"": """,tblEventLog[[#This Row],[payload]])+16,FIND("""",tblEventLog[[#This Row],[payload]],FIND("""from_status"": """,tblEventLog[[#This Row],[payload]])+16)-FIND("""from_status"": """,tblEventLog[[#This Row],[payload]])-16),"")&amp;"&gt;"&amp;IFERROR(MID(tblEventLog[[#This Row],[payload]],FIND("""to_status"": """,tblEventLog[[#This Row],[payload]])+14,FIND("""",tblEventLog[[#This Row],[payload]],FIND("""to_status"": """,tblEventLog[[#This Row],[payload]])+14)-FIND("""to_status"": """,tblEventLog[[#This Row],[payload]])-14),""))&gt;0,"legal","illegal")))</f>
        <v/>
      </c>
    </row>
    <row r="19">
      <c r="A19" s="7" t="inlineStr">
        <is>
          <t>EVT-000015</t>
        </is>
      </c>
      <c r="B19" s="7" t="inlineStr">
        <is>
          <t>phase.entered</t>
        </is>
      </c>
      <c r="C19" s="6" t="inlineStr">
        <is>
          <t>2026-09-15T16:05:00Z</t>
        </is>
      </c>
      <c r="D19" s="7" t="inlineStr">
        <is>
          <t>PER-000001</t>
        </is>
      </c>
      <c r="E19" s="7" t="inlineStr">
        <is>
          <t>human</t>
        </is>
      </c>
      <c r="F19" s="7" t="inlineStr">
        <is>
          <t>phase</t>
        </is>
      </c>
      <c r="G19" s="7" t="inlineStr">
        <is>
          <t>PHS-000002</t>
        </is>
      </c>
      <c r="H19" s="6" t="inlineStr">
        <is>
          <t>{"project_id": "PRJ-000001", "phase_key": "discover"}</t>
        </is>
      </c>
      <c r="I19" s="7" t="inlineStr">
        <is>
          <t>implementation-operating-system</t>
        </is>
      </c>
      <c r="J19" s="6" t="inlineStr">
        <is>
          <t>1.0.0</t>
        </is>
      </c>
      <c r="K19" s="14">
        <f>IF(tblEventLog[[#This Row],[event_id]]="","",IF(COUNTIFS(tblLookupEntries[lookup_type],"event_type",tblLookupEntries[key],tblEventLog[[#This Row],[event_type]])=0,"not_registered_for_v0_1",IF(COUNTIFS(tblLookupEntries[lookup_type],"event_type",tblLookupEntries[key],tblEventLog[[#This Row],[event_type]],tblLookupEntries[display_value],tblEventLog[[#This Row],[subject_type]])=0,"subject_type_mismatch","registered")))</f>
        <v/>
      </c>
      <c r="L19" s="14">
        <f>IF(tblEventLog[[#This Row],[event_id]]="","",IF(tblEventLog[[#This Row],[source_repo]]="implementation-operating-system","catalog_producer","wrong_source_repo"))</f>
        <v/>
      </c>
      <c r="M19" s="14">
        <f>IF(tblEventLog[[#This Row],[event_id]]="","",IF(tblEventLog[[#This Row],[actor_type]]="human",IF(LEFT(tblEventLog[[#This Row],[actor_id]],4)="PER-","valid","human_actor_not_person"),IF(tblEventLog[[#This Row],[actor_type]]="system",IF(COUNTIFS(tblLookupEntries[lookup_type],"rule_id",tblLookupEntries[key],tblEventLog[[#This Row],[actor_id]])&gt;0,"valid","unknown_system_actor"),IF(tblEventLog[[#This Row],[actor_type]]="ai_agent","ai_actor_not_used_in_v0_1","invalid_actor_type"))))</f>
        <v/>
      </c>
      <c r="N19" s="14">
        <f>IF(tblEventLog[[#This Row],[event_id]]="","",IF(LEFT(tblEventLog[[#This Row],[subject_id]],3)="PRJ",IF(COUNTIF(tblProjects[project_id],tblEventLog[[#This Row],[subject_id]])&gt;0,"found","missing"),IF(LEFT(tblEventLog[[#This Row],[subject_id]],3)="PHS",IF(COUNTIF(tblPhases[phase_id],tblEventLog[[#This Row],[subject_id]])&gt;0,"found","missing"),IF(LEFT(tblEventLog[[#This Row],[subject_id]],3)="MLS",IF(COUNTIF(tblMilestones[milestone_id],tblEventLog[[#This Row],[subject_id]])&gt;0,"found","missing"),IF(LEFT(tblEventLog[[#This Row],[subject_id]],3)="TSK",IF(COUNTIF(tblTasks[task_id],tblEventLog[[#This Row],[subject_id]])&gt;0,"found","missing"),IF(LEFT(tblEventLog[[#This Row],[subject_id]],3)="REQ",IF(COUNTIF(tblRequests[request_id],tblEventLog[[#This Row],[subject_id]])&gt;0,"found","missing"),IF(LEFT(tblEventLog[[#This Row],[subject_id]],3)="RSK",IF(COUNTIF(tblRisks[risk_id],tblEventLog[[#This Row],[subject_id]])&gt;0,"found","missing"),IF(LEFT(tblEventLog[[#This Row],[subject_id]],3)="ISS",IF(COUNTIF(tblIssues[issue_id],tblEventLog[[#This Row],[subject_id]])&gt;0,"found","missing"),IF(LEFT(tblEventLog[[#This Row],[subject_id]],3)="RDS",IF(COUNTIF(tblReadinessSummary[readiness_scorecard_id],tblEventLog[[#This Row],[subject_id]])&gt;0,"found","missing"),IF(LEFT(tblEventLog[[#This Row],[subject_id]],3)="GAT",IF(COUNTIF(tblGateAssessments[gate_assessment_id],tblEventLog[[#This Row],[subject_id]])&gt;0,"found","event_only_record"),IF(LEFT(tblEventLog[[#This Row],[subject_id]],3)="HND",IF(COUNTIF(tblHandoffs[handoff_id],tblEventLog[[#This Row],[subject_id]])&gt;0,"found","event_only_record"),"unsupported_subject")))))))))))</f>
        <v/>
      </c>
      <c r="O19" s="14">
        <f>IF(tblEventLog[[#This Row],[event_id]]="","",IF(AND(LEFT(TRIM(tblEventLog[[#This Row],[payload]]),1)="{",RIGHT(TRIM(tblEventLog[[#This Row],[payload]]),1)="}"),"object_text","not_json_object"))</f>
        <v/>
      </c>
      <c r="P19" s="14">
        <f>IF(tblEventLog[[#This Row],[event_id]]="","",IF(tblEventLog[[#This Row],[event_type]]&lt;&gt;"request.status_changed","not_applicable",IF(COUNTIFS(tblLookupEntries[lookup_type],"request_transition",tblLookupEntries[key],IFERROR(MID(tblEventLog[[#This Row],[payload]],FIND("""from_status"": """,tblEventLog[[#This Row],[payload]])+16,FIND("""",tblEventLog[[#This Row],[payload]],FIND("""from_status"": """,tblEventLog[[#This Row],[payload]])+16)-FIND("""from_status"": """,tblEventLog[[#This Row],[payload]])-16),"")&amp;"&gt;"&amp;IFERROR(MID(tblEventLog[[#This Row],[payload]],FIND("""to_status"": """,tblEventLog[[#This Row],[payload]])+14,FIND("""",tblEventLog[[#This Row],[payload]],FIND("""to_status"": """,tblEventLog[[#This Row],[payload]])+14)-FIND("""to_status"": """,tblEventLog[[#This Row],[payload]])-14),""))&gt;0,"legal","illegal")))</f>
        <v/>
      </c>
    </row>
    <row r="20">
      <c r="A20" s="7" t="inlineStr">
        <is>
          <t>EVT-000016</t>
        </is>
      </c>
      <c r="B20" s="7" t="inlineStr">
        <is>
          <t>request.submitted</t>
        </is>
      </c>
      <c r="C20" s="6" t="inlineStr">
        <is>
          <t>2026-09-15T17:00:00Z</t>
        </is>
      </c>
      <c r="D20" s="7" t="inlineStr">
        <is>
          <t>PER-000002</t>
        </is>
      </c>
      <c r="E20" s="7" t="inlineStr">
        <is>
          <t>human</t>
        </is>
      </c>
      <c r="F20" s="7" t="inlineStr">
        <is>
          <t>request</t>
        </is>
      </c>
      <c r="G20" s="7" t="inlineStr">
        <is>
          <t>REQ-000002</t>
        </is>
      </c>
      <c r="H20" s="6" t="inlineStr">
        <is>
          <t>{"project_id": "PRJ-000002", "request_type": "access", "due_at": "2026-09-30T17:00:00Z"}</t>
        </is>
      </c>
      <c r="I20" s="7" t="inlineStr">
        <is>
          <t>implementation-operating-system</t>
        </is>
      </c>
      <c r="J20" s="6" t="inlineStr">
        <is>
          <t>1.0.0</t>
        </is>
      </c>
      <c r="K20" s="14">
        <f>IF(tblEventLog[[#This Row],[event_id]]="","",IF(COUNTIFS(tblLookupEntries[lookup_type],"event_type",tblLookupEntries[key],tblEventLog[[#This Row],[event_type]])=0,"not_registered_for_v0_1",IF(COUNTIFS(tblLookupEntries[lookup_type],"event_type",tblLookupEntries[key],tblEventLog[[#This Row],[event_type]],tblLookupEntries[display_value],tblEventLog[[#This Row],[subject_type]])=0,"subject_type_mismatch","registered")))</f>
        <v/>
      </c>
      <c r="L20" s="14">
        <f>IF(tblEventLog[[#This Row],[event_id]]="","",IF(tblEventLog[[#This Row],[source_repo]]="implementation-operating-system","catalog_producer","wrong_source_repo"))</f>
        <v/>
      </c>
      <c r="M20" s="14">
        <f>IF(tblEventLog[[#This Row],[event_id]]="","",IF(tblEventLog[[#This Row],[actor_type]]="human",IF(LEFT(tblEventLog[[#This Row],[actor_id]],4)="PER-","valid","human_actor_not_person"),IF(tblEventLog[[#This Row],[actor_type]]="system",IF(COUNTIFS(tblLookupEntries[lookup_type],"rule_id",tblLookupEntries[key],tblEventLog[[#This Row],[actor_id]])&gt;0,"valid","unknown_system_actor"),IF(tblEventLog[[#This Row],[actor_type]]="ai_agent","ai_actor_not_used_in_v0_1","invalid_actor_type"))))</f>
        <v/>
      </c>
      <c r="N20" s="14">
        <f>IF(tblEventLog[[#This Row],[event_id]]="","",IF(LEFT(tblEventLog[[#This Row],[subject_id]],3)="PRJ",IF(COUNTIF(tblProjects[project_id],tblEventLog[[#This Row],[subject_id]])&gt;0,"found","missing"),IF(LEFT(tblEventLog[[#This Row],[subject_id]],3)="PHS",IF(COUNTIF(tblPhases[phase_id],tblEventLog[[#This Row],[subject_id]])&gt;0,"found","missing"),IF(LEFT(tblEventLog[[#This Row],[subject_id]],3)="MLS",IF(COUNTIF(tblMilestones[milestone_id],tblEventLog[[#This Row],[subject_id]])&gt;0,"found","missing"),IF(LEFT(tblEventLog[[#This Row],[subject_id]],3)="TSK",IF(COUNTIF(tblTasks[task_id],tblEventLog[[#This Row],[subject_id]])&gt;0,"found","missing"),IF(LEFT(tblEventLog[[#This Row],[subject_id]],3)="REQ",IF(COUNTIF(tblRequests[request_id],tblEventLog[[#This Row],[subject_id]])&gt;0,"found","missing"),IF(LEFT(tblEventLog[[#This Row],[subject_id]],3)="RSK",IF(COUNTIF(tblRisks[risk_id],tblEventLog[[#This Row],[subject_id]])&gt;0,"found","missing"),IF(LEFT(tblEventLog[[#This Row],[subject_id]],3)="ISS",IF(COUNTIF(tblIssues[issue_id],tblEventLog[[#This Row],[subject_id]])&gt;0,"found","missing"),IF(LEFT(tblEventLog[[#This Row],[subject_id]],3)="RDS",IF(COUNTIF(tblReadinessSummary[readiness_scorecard_id],tblEventLog[[#This Row],[subject_id]])&gt;0,"found","missing"),IF(LEFT(tblEventLog[[#This Row],[subject_id]],3)="GAT",IF(COUNTIF(tblGateAssessments[gate_assessment_id],tblEventLog[[#This Row],[subject_id]])&gt;0,"found","event_only_record"),IF(LEFT(tblEventLog[[#This Row],[subject_id]],3)="HND",IF(COUNTIF(tblHandoffs[handoff_id],tblEventLog[[#This Row],[subject_id]])&gt;0,"found","event_only_record"),"unsupported_subject")))))))))))</f>
        <v/>
      </c>
      <c r="O20" s="14">
        <f>IF(tblEventLog[[#This Row],[event_id]]="","",IF(AND(LEFT(TRIM(tblEventLog[[#This Row],[payload]]),1)="{",RIGHT(TRIM(tblEventLog[[#This Row],[payload]]),1)="}"),"object_text","not_json_object"))</f>
        <v/>
      </c>
      <c r="P20" s="14">
        <f>IF(tblEventLog[[#This Row],[event_id]]="","",IF(tblEventLog[[#This Row],[event_type]]&lt;&gt;"request.status_changed","not_applicable",IF(COUNTIFS(tblLookupEntries[lookup_type],"request_transition",tblLookupEntries[key],IFERROR(MID(tblEventLog[[#This Row],[payload]],FIND("""from_status"": """,tblEventLog[[#This Row],[payload]])+16,FIND("""",tblEventLog[[#This Row],[payload]],FIND("""from_status"": """,tblEventLog[[#This Row],[payload]])+16)-FIND("""from_status"": """,tblEventLog[[#This Row],[payload]])-16),"")&amp;"&gt;"&amp;IFERROR(MID(tblEventLog[[#This Row],[payload]],FIND("""to_status"": """,tblEventLog[[#This Row],[payload]])+14,FIND("""",tblEventLog[[#This Row],[payload]],FIND("""to_status"": """,tblEventLog[[#This Row],[payload]])+14)-FIND("""to_status"": """,tblEventLog[[#This Row],[payload]])-14),""))&gt;0,"legal","illegal")))</f>
        <v/>
      </c>
    </row>
    <row r="21">
      <c r="A21" s="7" t="inlineStr">
        <is>
          <t>EVT-000017</t>
        </is>
      </c>
      <c r="B21" s="7" t="inlineStr">
        <is>
          <t>request.status_changed</t>
        </is>
      </c>
      <c r="C21" s="6" t="inlineStr">
        <is>
          <t>2026-09-15T19:00:00Z</t>
        </is>
      </c>
      <c r="D21" s="7" t="inlineStr">
        <is>
          <t>PER-000002</t>
        </is>
      </c>
      <c r="E21" s="7" t="inlineStr">
        <is>
          <t>human</t>
        </is>
      </c>
      <c r="F21" s="7" t="inlineStr">
        <is>
          <t>request</t>
        </is>
      </c>
      <c r="G21" s="7" t="inlineStr">
        <is>
          <t>REQ-000002</t>
        </is>
      </c>
      <c r="H21" s="6" t="inlineStr">
        <is>
          <t>{"from_status": "submitted", "to_status": "triaged"}</t>
        </is>
      </c>
      <c r="I21" s="7" t="inlineStr">
        <is>
          <t>implementation-operating-system</t>
        </is>
      </c>
      <c r="J21" s="6" t="inlineStr">
        <is>
          <t>1.0.0</t>
        </is>
      </c>
      <c r="K21" s="14">
        <f>IF(tblEventLog[[#This Row],[event_id]]="","",IF(COUNTIFS(tblLookupEntries[lookup_type],"event_type",tblLookupEntries[key],tblEventLog[[#This Row],[event_type]])=0,"not_registered_for_v0_1",IF(COUNTIFS(tblLookupEntries[lookup_type],"event_type",tblLookupEntries[key],tblEventLog[[#This Row],[event_type]],tblLookupEntries[display_value],tblEventLog[[#This Row],[subject_type]])=0,"subject_type_mismatch","registered")))</f>
        <v/>
      </c>
      <c r="L21" s="14">
        <f>IF(tblEventLog[[#This Row],[event_id]]="","",IF(tblEventLog[[#This Row],[source_repo]]="implementation-operating-system","catalog_producer","wrong_source_repo"))</f>
        <v/>
      </c>
      <c r="M21" s="14">
        <f>IF(tblEventLog[[#This Row],[event_id]]="","",IF(tblEventLog[[#This Row],[actor_type]]="human",IF(LEFT(tblEventLog[[#This Row],[actor_id]],4)="PER-","valid","human_actor_not_person"),IF(tblEventLog[[#This Row],[actor_type]]="system",IF(COUNTIFS(tblLookupEntries[lookup_type],"rule_id",tblLookupEntries[key],tblEventLog[[#This Row],[actor_id]])&gt;0,"valid","unknown_system_actor"),IF(tblEventLog[[#This Row],[actor_type]]="ai_agent","ai_actor_not_used_in_v0_1","invalid_actor_type"))))</f>
        <v/>
      </c>
      <c r="N21" s="14">
        <f>IF(tblEventLog[[#This Row],[event_id]]="","",IF(LEFT(tblEventLog[[#This Row],[subject_id]],3)="PRJ",IF(COUNTIF(tblProjects[project_id],tblEventLog[[#This Row],[subject_id]])&gt;0,"found","missing"),IF(LEFT(tblEventLog[[#This Row],[subject_id]],3)="PHS",IF(COUNTIF(tblPhases[phase_id],tblEventLog[[#This Row],[subject_id]])&gt;0,"found","missing"),IF(LEFT(tblEventLog[[#This Row],[subject_id]],3)="MLS",IF(COUNTIF(tblMilestones[milestone_id],tblEventLog[[#This Row],[subject_id]])&gt;0,"found","missing"),IF(LEFT(tblEventLog[[#This Row],[subject_id]],3)="TSK",IF(COUNTIF(tblTasks[task_id],tblEventLog[[#This Row],[subject_id]])&gt;0,"found","missing"),IF(LEFT(tblEventLog[[#This Row],[subject_id]],3)="REQ",IF(COUNTIF(tblRequests[request_id],tblEventLog[[#This Row],[subject_id]])&gt;0,"found","missing"),IF(LEFT(tblEventLog[[#This Row],[subject_id]],3)="RSK",IF(COUNTIF(tblRisks[risk_id],tblEventLog[[#This Row],[subject_id]])&gt;0,"found","missing"),IF(LEFT(tblEventLog[[#This Row],[subject_id]],3)="ISS",IF(COUNTIF(tblIssues[issue_id],tblEventLog[[#This Row],[subject_id]])&gt;0,"found","missing"),IF(LEFT(tblEventLog[[#This Row],[subject_id]],3)="RDS",IF(COUNTIF(tblReadinessSummary[readiness_scorecard_id],tblEventLog[[#This Row],[subject_id]])&gt;0,"found","missing"),IF(LEFT(tblEventLog[[#This Row],[subject_id]],3)="GAT",IF(COUNTIF(tblGateAssessments[gate_assessment_id],tblEventLog[[#This Row],[subject_id]])&gt;0,"found","event_only_record"),IF(LEFT(tblEventLog[[#This Row],[subject_id]],3)="HND",IF(COUNTIF(tblHandoffs[handoff_id],tblEventLog[[#This Row],[subject_id]])&gt;0,"found","event_only_record"),"unsupported_subject")))))))))))</f>
        <v/>
      </c>
      <c r="O21" s="14">
        <f>IF(tblEventLog[[#This Row],[event_id]]="","",IF(AND(LEFT(TRIM(tblEventLog[[#This Row],[payload]]),1)="{",RIGHT(TRIM(tblEventLog[[#This Row],[payload]]),1)="}"),"object_text","not_json_object"))</f>
        <v/>
      </c>
      <c r="P21" s="14">
        <f>IF(tblEventLog[[#This Row],[event_id]]="","",IF(tblEventLog[[#This Row],[event_type]]&lt;&gt;"request.status_changed","not_applicable",IF(COUNTIFS(tblLookupEntries[lookup_type],"request_transition",tblLookupEntries[key],IFERROR(MID(tblEventLog[[#This Row],[payload]],FIND("""from_status"": """,tblEventLog[[#This Row],[payload]])+16,FIND("""",tblEventLog[[#This Row],[payload]],FIND("""from_status"": """,tblEventLog[[#This Row],[payload]])+16)-FIND("""from_status"": """,tblEventLog[[#This Row],[payload]])-16),"")&amp;"&gt;"&amp;IFERROR(MID(tblEventLog[[#This Row],[payload]],FIND("""to_status"": """,tblEventLog[[#This Row],[payload]])+14,FIND("""",tblEventLog[[#This Row],[payload]],FIND("""to_status"": """,tblEventLog[[#This Row],[payload]])+14)-FIND("""to_status"": """,tblEventLog[[#This Row],[payload]])-14),""))&gt;0,"legal","illegal")))</f>
        <v/>
      </c>
    </row>
    <row r="22">
      <c r="A22" s="7" t="inlineStr">
        <is>
          <t>EVT-000018</t>
        </is>
      </c>
      <c r="B22" s="7" t="inlineStr">
        <is>
          <t>request.status_changed</t>
        </is>
      </c>
      <c r="C22" s="6" t="inlineStr">
        <is>
          <t>2026-09-16T14:00:00Z</t>
        </is>
      </c>
      <c r="D22" s="7" t="inlineStr">
        <is>
          <t>PER-000002</t>
        </is>
      </c>
      <c r="E22" s="7" t="inlineStr">
        <is>
          <t>human</t>
        </is>
      </c>
      <c r="F22" s="7" t="inlineStr">
        <is>
          <t>request</t>
        </is>
      </c>
      <c r="G22" s="7" t="inlineStr">
        <is>
          <t>REQ-000002</t>
        </is>
      </c>
      <c r="H22" s="6" t="inlineStr">
        <is>
          <t>{"from_status": "triaged", "to_status": "accepted"}</t>
        </is>
      </c>
      <c r="I22" s="7" t="inlineStr">
        <is>
          <t>implementation-operating-system</t>
        </is>
      </c>
      <c r="J22" s="6" t="inlineStr">
        <is>
          <t>1.0.0</t>
        </is>
      </c>
      <c r="K22" s="14">
        <f>IF(tblEventLog[[#This Row],[event_id]]="","",IF(COUNTIFS(tblLookupEntries[lookup_type],"event_type",tblLookupEntries[key],tblEventLog[[#This Row],[event_type]])=0,"not_registered_for_v0_1",IF(COUNTIFS(tblLookupEntries[lookup_type],"event_type",tblLookupEntries[key],tblEventLog[[#This Row],[event_type]],tblLookupEntries[display_value],tblEventLog[[#This Row],[subject_type]])=0,"subject_type_mismatch","registered")))</f>
        <v/>
      </c>
      <c r="L22" s="14">
        <f>IF(tblEventLog[[#This Row],[event_id]]="","",IF(tblEventLog[[#This Row],[source_repo]]="implementation-operating-system","catalog_producer","wrong_source_repo"))</f>
        <v/>
      </c>
      <c r="M22" s="14">
        <f>IF(tblEventLog[[#This Row],[event_id]]="","",IF(tblEventLog[[#This Row],[actor_type]]="human",IF(LEFT(tblEventLog[[#This Row],[actor_id]],4)="PER-","valid","human_actor_not_person"),IF(tblEventLog[[#This Row],[actor_type]]="system",IF(COUNTIFS(tblLookupEntries[lookup_type],"rule_id",tblLookupEntries[key],tblEventLog[[#This Row],[actor_id]])&gt;0,"valid","unknown_system_actor"),IF(tblEventLog[[#This Row],[actor_type]]="ai_agent","ai_actor_not_used_in_v0_1","invalid_actor_type"))))</f>
        <v/>
      </c>
      <c r="N22" s="14">
        <f>IF(tblEventLog[[#This Row],[event_id]]="","",IF(LEFT(tblEventLog[[#This Row],[subject_id]],3)="PRJ",IF(COUNTIF(tblProjects[project_id],tblEventLog[[#This Row],[subject_id]])&gt;0,"found","missing"),IF(LEFT(tblEventLog[[#This Row],[subject_id]],3)="PHS",IF(COUNTIF(tblPhases[phase_id],tblEventLog[[#This Row],[subject_id]])&gt;0,"found","missing"),IF(LEFT(tblEventLog[[#This Row],[subject_id]],3)="MLS",IF(COUNTIF(tblMilestones[milestone_id],tblEventLog[[#This Row],[subject_id]])&gt;0,"found","missing"),IF(LEFT(tblEventLog[[#This Row],[subject_id]],3)="TSK",IF(COUNTIF(tblTasks[task_id],tblEventLog[[#This Row],[subject_id]])&gt;0,"found","missing"),IF(LEFT(tblEventLog[[#This Row],[subject_id]],3)="REQ",IF(COUNTIF(tblRequests[request_id],tblEventLog[[#This Row],[subject_id]])&gt;0,"found","missing"),IF(LEFT(tblEventLog[[#This Row],[subject_id]],3)="RSK",IF(COUNTIF(tblRisks[risk_id],tblEventLog[[#This Row],[subject_id]])&gt;0,"found","missing"),IF(LEFT(tblEventLog[[#This Row],[subject_id]],3)="ISS",IF(COUNTIF(tblIssues[issue_id],tblEventLog[[#This Row],[subject_id]])&gt;0,"found","missing"),IF(LEFT(tblEventLog[[#This Row],[subject_id]],3)="RDS",IF(COUNTIF(tblReadinessSummary[readiness_scorecard_id],tblEventLog[[#This Row],[subject_id]])&gt;0,"found","missing"),IF(LEFT(tblEventLog[[#This Row],[subject_id]],3)="GAT",IF(COUNTIF(tblGateAssessments[gate_assessment_id],tblEventLog[[#This Row],[subject_id]])&gt;0,"found","event_only_record"),IF(LEFT(tblEventLog[[#This Row],[subject_id]],3)="HND",IF(COUNTIF(tblHandoffs[handoff_id],tblEventLog[[#This Row],[subject_id]])&gt;0,"found","event_only_record"),"unsupported_subject")))))))))))</f>
        <v/>
      </c>
      <c r="O22" s="14">
        <f>IF(tblEventLog[[#This Row],[event_id]]="","",IF(AND(LEFT(TRIM(tblEventLog[[#This Row],[payload]]),1)="{",RIGHT(TRIM(tblEventLog[[#This Row],[payload]]),1)="}"),"object_text","not_json_object"))</f>
        <v/>
      </c>
      <c r="P22" s="14">
        <f>IF(tblEventLog[[#This Row],[event_id]]="","",IF(tblEventLog[[#This Row],[event_type]]&lt;&gt;"request.status_changed","not_applicable",IF(COUNTIFS(tblLookupEntries[lookup_type],"request_transition",tblLookupEntries[key],IFERROR(MID(tblEventLog[[#This Row],[payload]],FIND("""from_status"": """,tblEventLog[[#This Row],[payload]])+16,FIND("""",tblEventLog[[#This Row],[payload]],FIND("""from_status"": """,tblEventLog[[#This Row],[payload]])+16)-FIND("""from_status"": """,tblEventLog[[#This Row],[payload]])-16),"")&amp;"&gt;"&amp;IFERROR(MID(tblEventLog[[#This Row],[payload]],FIND("""to_status"": """,tblEventLog[[#This Row],[payload]])+14,FIND("""",tblEventLog[[#This Row],[payload]],FIND("""to_status"": """,tblEventLog[[#This Row],[payload]])+14)-FIND("""to_status"": """,tblEventLog[[#This Row],[payload]])-14),""))&gt;0,"legal","illegal")))</f>
        <v/>
      </c>
    </row>
    <row r="23">
      <c r="A23" s="7" t="inlineStr">
        <is>
          <t>EVT-000019</t>
        </is>
      </c>
      <c r="B23" s="7" t="inlineStr">
        <is>
          <t>request.status_changed</t>
        </is>
      </c>
      <c r="C23" s="6" t="inlineStr">
        <is>
          <t>2026-09-16T15:00:00Z</t>
        </is>
      </c>
      <c r="D23" s="7" t="inlineStr">
        <is>
          <t>PER-000002</t>
        </is>
      </c>
      <c r="E23" s="7" t="inlineStr">
        <is>
          <t>human</t>
        </is>
      </c>
      <c r="F23" s="7" t="inlineStr">
        <is>
          <t>request</t>
        </is>
      </c>
      <c r="G23" s="7" t="inlineStr">
        <is>
          <t>REQ-000002</t>
        </is>
      </c>
      <c r="H23" s="6" t="inlineStr">
        <is>
          <t>{"from_status": "accepted", "to_status": "in_progress"}</t>
        </is>
      </c>
      <c r="I23" s="7" t="inlineStr">
        <is>
          <t>implementation-operating-system</t>
        </is>
      </c>
      <c r="J23" s="6" t="inlineStr">
        <is>
          <t>1.0.0</t>
        </is>
      </c>
      <c r="K23" s="14">
        <f>IF(tblEventLog[[#This Row],[event_id]]="","",IF(COUNTIFS(tblLookupEntries[lookup_type],"event_type",tblLookupEntries[key],tblEventLog[[#This Row],[event_type]])=0,"not_registered_for_v0_1",IF(COUNTIFS(tblLookupEntries[lookup_type],"event_type",tblLookupEntries[key],tblEventLog[[#This Row],[event_type]],tblLookupEntries[display_value],tblEventLog[[#This Row],[subject_type]])=0,"subject_type_mismatch","registered")))</f>
        <v/>
      </c>
      <c r="L23" s="14">
        <f>IF(tblEventLog[[#This Row],[event_id]]="","",IF(tblEventLog[[#This Row],[source_repo]]="implementation-operating-system","catalog_producer","wrong_source_repo"))</f>
        <v/>
      </c>
      <c r="M23" s="14">
        <f>IF(tblEventLog[[#This Row],[event_id]]="","",IF(tblEventLog[[#This Row],[actor_type]]="human",IF(LEFT(tblEventLog[[#This Row],[actor_id]],4)="PER-","valid","human_actor_not_person"),IF(tblEventLog[[#This Row],[actor_type]]="system",IF(COUNTIFS(tblLookupEntries[lookup_type],"rule_id",tblLookupEntries[key],tblEventLog[[#This Row],[actor_id]])&gt;0,"valid","unknown_system_actor"),IF(tblEventLog[[#This Row],[actor_type]]="ai_agent","ai_actor_not_used_in_v0_1","invalid_actor_type"))))</f>
        <v/>
      </c>
      <c r="N23" s="14">
        <f>IF(tblEventLog[[#This Row],[event_id]]="","",IF(LEFT(tblEventLog[[#This Row],[subject_id]],3)="PRJ",IF(COUNTIF(tblProjects[project_id],tblEventLog[[#This Row],[subject_id]])&gt;0,"found","missing"),IF(LEFT(tblEventLog[[#This Row],[subject_id]],3)="PHS",IF(COUNTIF(tblPhases[phase_id],tblEventLog[[#This Row],[subject_id]])&gt;0,"found","missing"),IF(LEFT(tblEventLog[[#This Row],[subject_id]],3)="MLS",IF(COUNTIF(tblMilestones[milestone_id],tblEventLog[[#This Row],[subject_id]])&gt;0,"found","missing"),IF(LEFT(tblEventLog[[#This Row],[subject_id]],3)="TSK",IF(COUNTIF(tblTasks[task_id],tblEventLog[[#This Row],[subject_id]])&gt;0,"found","missing"),IF(LEFT(tblEventLog[[#This Row],[subject_id]],3)="REQ",IF(COUNTIF(tblRequests[request_id],tblEventLog[[#This Row],[subject_id]])&gt;0,"found","missing"),IF(LEFT(tblEventLog[[#This Row],[subject_id]],3)="RSK",IF(COUNTIF(tblRisks[risk_id],tblEventLog[[#This Row],[subject_id]])&gt;0,"found","missing"),IF(LEFT(tblEventLog[[#This Row],[subject_id]],3)="ISS",IF(COUNTIF(tblIssues[issue_id],tblEventLog[[#This Row],[subject_id]])&gt;0,"found","missing"),IF(LEFT(tblEventLog[[#This Row],[subject_id]],3)="RDS",IF(COUNTIF(tblReadinessSummary[readiness_scorecard_id],tblEventLog[[#This Row],[subject_id]])&gt;0,"found","missing"),IF(LEFT(tblEventLog[[#This Row],[subject_id]],3)="GAT",IF(COUNTIF(tblGateAssessments[gate_assessment_id],tblEventLog[[#This Row],[subject_id]])&gt;0,"found","event_only_record"),IF(LEFT(tblEventLog[[#This Row],[subject_id]],3)="HND",IF(COUNTIF(tblHandoffs[handoff_id],tblEventLog[[#This Row],[subject_id]])&gt;0,"found","event_only_record"),"unsupported_subject")))))))))))</f>
        <v/>
      </c>
      <c r="O23" s="14">
        <f>IF(tblEventLog[[#This Row],[event_id]]="","",IF(AND(LEFT(TRIM(tblEventLog[[#This Row],[payload]]),1)="{",RIGHT(TRIM(tblEventLog[[#This Row],[payload]]),1)="}"),"object_text","not_json_object"))</f>
        <v/>
      </c>
      <c r="P23" s="14">
        <f>IF(tblEventLog[[#This Row],[event_id]]="","",IF(tblEventLog[[#This Row],[event_type]]&lt;&gt;"request.status_changed","not_applicable",IF(COUNTIFS(tblLookupEntries[lookup_type],"request_transition",tblLookupEntries[key],IFERROR(MID(tblEventLog[[#This Row],[payload]],FIND("""from_status"": """,tblEventLog[[#This Row],[payload]])+16,FIND("""",tblEventLog[[#This Row],[payload]],FIND("""from_status"": """,tblEventLog[[#This Row],[payload]])+16)-FIND("""from_status"": """,tblEventLog[[#This Row],[payload]])-16),"")&amp;"&gt;"&amp;IFERROR(MID(tblEventLog[[#This Row],[payload]],FIND("""to_status"": """,tblEventLog[[#This Row],[payload]])+14,FIND("""",tblEventLog[[#This Row],[payload]],FIND("""to_status"": """,tblEventLog[[#This Row],[payload]])+14)-FIND("""to_status"": """,tblEventLog[[#This Row],[payload]])-14),""))&gt;0,"legal","illegal")))</f>
        <v/>
      </c>
    </row>
    <row r="24">
      <c r="A24" s="7" t="inlineStr">
        <is>
          <t>EVT-000020</t>
        </is>
      </c>
      <c r="B24" s="7" t="inlineStr">
        <is>
          <t>risk.logged</t>
        </is>
      </c>
      <c r="C24" s="6" t="inlineStr">
        <is>
          <t>2026-09-17T15:00:00Z</t>
        </is>
      </c>
      <c r="D24" s="7" t="inlineStr">
        <is>
          <t>PER-000001</t>
        </is>
      </c>
      <c r="E24" s="7" t="inlineStr">
        <is>
          <t>human</t>
        </is>
      </c>
      <c r="F24" s="7" t="inlineStr">
        <is>
          <t>risk</t>
        </is>
      </c>
      <c r="G24" s="7" t="inlineStr">
        <is>
          <t>RSK-000001</t>
        </is>
      </c>
      <c r="H24" s="6" t="inlineStr">
        <is>
          <t>{"project_id": "PRJ-000001", "severity": "sev3", "risk_score": 6}</t>
        </is>
      </c>
      <c r="I24" s="7" t="inlineStr">
        <is>
          <t>implementation-operating-system</t>
        </is>
      </c>
      <c r="J24" s="6" t="inlineStr">
        <is>
          <t>1.0.0</t>
        </is>
      </c>
      <c r="K24" s="14">
        <f>IF(tblEventLog[[#This Row],[event_id]]="","",IF(COUNTIFS(tblLookupEntries[lookup_type],"event_type",tblLookupEntries[key],tblEventLog[[#This Row],[event_type]])=0,"not_registered_for_v0_1",IF(COUNTIFS(tblLookupEntries[lookup_type],"event_type",tblLookupEntries[key],tblEventLog[[#This Row],[event_type]],tblLookupEntries[display_value],tblEventLog[[#This Row],[subject_type]])=0,"subject_type_mismatch","registered")))</f>
        <v/>
      </c>
      <c r="L24" s="14">
        <f>IF(tblEventLog[[#This Row],[event_id]]="","",IF(tblEventLog[[#This Row],[source_repo]]="implementation-operating-system","catalog_producer","wrong_source_repo"))</f>
        <v/>
      </c>
      <c r="M24" s="14">
        <f>IF(tblEventLog[[#This Row],[event_id]]="","",IF(tblEventLog[[#This Row],[actor_type]]="human",IF(LEFT(tblEventLog[[#This Row],[actor_id]],4)="PER-","valid","human_actor_not_person"),IF(tblEventLog[[#This Row],[actor_type]]="system",IF(COUNTIFS(tblLookupEntries[lookup_type],"rule_id",tblLookupEntries[key],tblEventLog[[#This Row],[actor_id]])&gt;0,"valid","unknown_system_actor"),IF(tblEventLog[[#This Row],[actor_type]]="ai_agent","ai_actor_not_used_in_v0_1","invalid_actor_type"))))</f>
        <v/>
      </c>
      <c r="N24" s="14">
        <f>IF(tblEventLog[[#This Row],[event_id]]="","",IF(LEFT(tblEventLog[[#This Row],[subject_id]],3)="PRJ",IF(COUNTIF(tblProjects[project_id],tblEventLog[[#This Row],[subject_id]])&gt;0,"found","missing"),IF(LEFT(tblEventLog[[#This Row],[subject_id]],3)="PHS",IF(COUNTIF(tblPhases[phase_id],tblEventLog[[#This Row],[subject_id]])&gt;0,"found","missing"),IF(LEFT(tblEventLog[[#This Row],[subject_id]],3)="MLS",IF(COUNTIF(tblMilestones[milestone_id],tblEventLog[[#This Row],[subject_id]])&gt;0,"found","missing"),IF(LEFT(tblEventLog[[#This Row],[subject_id]],3)="TSK",IF(COUNTIF(tblTasks[task_id],tblEventLog[[#This Row],[subject_id]])&gt;0,"found","missing"),IF(LEFT(tblEventLog[[#This Row],[subject_id]],3)="REQ",IF(COUNTIF(tblRequests[request_id],tblEventLog[[#This Row],[subject_id]])&gt;0,"found","missing"),IF(LEFT(tblEventLog[[#This Row],[subject_id]],3)="RSK",IF(COUNTIF(tblRisks[risk_id],tblEventLog[[#This Row],[subject_id]])&gt;0,"found","missing"),IF(LEFT(tblEventLog[[#This Row],[subject_id]],3)="ISS",IF(COUNTIF(tblIssues[issue_id],tblEventLog[[#This Row],[subject_id]])&gt;0,"found","missing"),IF(LEFT(tblEventLog[[#This Row],[subject_id]],3)="RDS",IF(COUNTIF(tblReadinessSummary[readiness_scorecard_id],tblEventLog[[#This Row],[subject_id]])&gt;0,"found","missing"),IF(LEFT(tblEventLog[[#This Row],[subject_id]],3)="GAT",IF(COUNTIF(tblGateAssessments[gate_assessment_id],tblEventLog[[#This Row],[subject_id]])&gt;0,"found","event_only_record"),IF(LEFT(tblEventLog[[#This Row],[subject_id]],3)="HND",IF(COUNTIF(tblHandoffs[handoff_id],tblEventLog[[#This Row],[subject_id]])&gt;0,"found","event_only_record"),"unsupported_subject")))))))))))</f>
        <v/>
      </c>
      <c r="O24" s="14">
        <f>IF(tblEventLog[[#This Row],[event_id]]="","",IF(AND(LEFT(TRIM(tblEventLog[[#This Row],[payload]]),1)="{",RIGHT(TRIM(tblEventLog[[#This Row],[payload]]),1)="}"),"object_text","not_json_object"))</f>
        <v/>
      </c>
      <c r="P24" s="14">
        <f>IF(tblEventLog[[#This Row],[event_id]]="","",IF(tblEventLog[[#This Row],[event_type]]&lt;&gt;"request.status_changed","not_applicable",IF(COUNTIFS(tblLookupEntries[lookup_type],"request_transition",tblLookupEntries[key],IFERROR(MID(tblEventLog[[#This Row],[payload]],FIND("""from_status"": """,tblEventLog[[#This Row],[payload]])+16,FIND("""",tblEventLog[[#This Row],[payload]],FIND("""from_status"": """,tblEventLog[[#This Row],[payload]])+16)-FIND("""from_status"": """,tblEventLog[[#This Row],[payload]])-16),"")&amp;"&gt;"&amp;IFERROR(MID(tblEventLog[[#This Row],[payload]],FIND("""to_status"": """,tblEventLog[[#This Row],[payload]])+14,FIND("""",tblEventLog[[#This Row],[payload]],FIND("""to_status"": """,tblEventLog[[#This Row],[payload]])+14)-FIND("""to_status"": """,tblEventLog[[#This Row],[payload]])-14),""))&gt;0,"legal","illegal")))</f>
        <v/>
      </c>
    </row>
    <row r="25">
      <c r="A25" s="7" t="inlineStr">
        <is>
          <t>EVT-000021</t>
        </is>
      </c>
      <c r="B25" s="7" t="inlineStr">
        <is>
          <t>issue.logged</t>
        </is>
      </c>
      <c r="C25" s="6" t="inlineStr">
        <is>
          <t>2026-09-21T14:00:00Z</t>
        </is>
      </c>
      <c r="D25" s="7" t="inlineStr">
        <is>
          <t>PER-000003</t>
        </is>
      </c>
      <c r="E25" s="7" t="inlineStr">
        <is>
          <t>human</t>
        </is>
      </c>
      <c r="F25" s="7" t="inlineStr">
        <is>
          <t>issue</t>
        </is>
      </c>
      <c r="G25" s="7" t="inlineStr">
        <is>
          <t>ISS-000004</t>
        </is>
      </c>
      <c r="H25" s="6" t="inlineStr">
        <is>
          <t>{"project_id": "PRJ-000003", "severity": "sev3"}</t>
        </is>
      </c>
      <c r="I25" s="7" t="inlineStr">
        <is>
          <t>implementation-operating-system</t>
        </is>
      </c>
      <c r="J25" s="6" t="inlineStr">
        <is>
          <t>1.0.0</t>
        </is>
      </c>
      <c r="K25" s="14">
        <f>IF(tblEventLog[[#This Row],[event_id]]="","",IF(COUNTIFS(tblLookupEntries[lookup_type],"event_type",tblLookupEntries[key],tblEventLog[[#This Row],[event_type]])=0,"not_registered_for_v0_1",IF(COUNTIFS(tblLookupEntries[lookup_type],"event_type",tblLookupEntries[key],tblEventLog[[#This Row],[event_type]],tblLookupEntries[display_value],tblEventLog[[#This Row],[subject_type]])=0,"subject_type_mismatch","registered")))</f>
        <v/>
      </c>
      <c r="L25" s="14">
        <f>IF(tblEventLog[[#This Row],[event_id]]="","",IF(tblEventLog[[#This Row],[source_repo]]="implementation-operating-system","catalog_producer","wrong_source_repo"))</f>
        <v/>
      </c>
      <c r="M25" s="14">
        <f>IF(tblEventLog[[#This Row],[event_id]]="","",IF(tblEventLog[[#This Row],[actor_type]]="human",IF(LEFT(tblEventLog[[#This Row],[actor_id]],4)="PER-","valid","human_actor_not_person"),IF(tblEventLog[[#This Row],[actor_type]]="system",IF(COUNTIFS(tblLookupEntries[lookup_type],"rule_id",tblLookupEntries[key],tblEventLog[[#This Row],[actor_id]])&gt;0,"valid","unknown_system_actor"),IF(tblEventLog[[#This Row],[actor_type]]="ai_agent","ai_actor_not_used_in_v0_1","invalid_actor_type"))))</f>
        <v/>
      </c>
      <c r="N25" s="14">
        <f>IF(tblEventLog[[#This Row],[event_id]]="","",IF(LEFT(tblEventLog[[#This Row],[subject_id]],3)="PRJ",IF(COUNTIF(tblProjects[project_id],tblEventLog[[#This Row],[subject_id]])&gt;0,"found","missing"),IF(LEFT(tblEventLog[[#This Row],[subject_id]],3)="PHS",IF(COUNTIF(tblPhases[phase_id],tblEventLog[[#This Row],[subject_id]])&gt;0,"found","missing"),IF(LEFT(tblEventLog[[#This Row],[subject_id]],3)="MLS",IF(COUNTIF(tblMilestones[milestone_id],tblEventLog[[#This Row],[subject_id]])&gt;0,"found","missing"),IF(LEFT(tblEventLog[[#This Row],[subject_id]],3)="TSK",IF(COUNTIF(tblTasks[task_id],tblEventLog[[#This Row],[subject_id]])&gt;0,"found","missing"),IF(LEFT(tblEventLog[[#This Row],[subject_id]],3)="REQ",IF(COUNTIF(tblRequests[request_id],tblEventLog[[#This Row],[subject_id]])&gt;0,"found","missing"),IF(LEFT(tblEventLog[[#This Row],[subject_id]],3)="RSK",IF(COUNTIF(tblRisks[risk_id],tblEventLog[[#This Row],[subject_id]])&gt;0,"found","missing"),IF(LEFT(tblEventLog[[#This Row],[subject_id]],3)="ISS",IF(COUNTIF(tblIssues[issue_id],tblEventLog[[#This Row],[subject_id]])&gt;0,"found","missing"),IF(LEFT(tblEventLog[[#This Row],[subject_id]],3)="RDS",IF(COUNTIF(tblReadinessSummary[readiness_scorecard_id],tblEventLog[[#This Row],[subject_id]])&gt;0,"found","missing"),IF(LEFT(tblEventLog[[#This Row],[subject_id]],3)="GAT",IF(COUNTIF(tblGateAssessments[gate_assessment_id],tblEventLog[[#This Row],[subject_id]])&gt;0,"found","event_only_record"),IF(LEFT(tblEventLog[[#This Row],[subject_id]],3)="HND",IF(COUNTIF(tblHandoffs[handoff_id],tblEventLog[[#This Row],[subject_id]])&gt;0,"found","event_only_record"),"unsupported_subject")))))))))))</f>
        <v/>
      </c>
      <c r="O25" s="14">
        <f>IF(tblEventLog[[#This Row],[event_id]]="","",IF(AND(LEFT(TRIM(tblEventLog[[#This Row],[payload]]),1)="{",RIGHT(TRIM(tblEventLog[[#This Row],[payload]]),1)="}"),"object_text","not_json_object"))</f>
        <v/>
      </c>
      <c r="P25" s="14">
        <f>IF(tblEventLog[[#This Row],[event_id]]="","",IF(tblEventLog[[#This Row],[event_type]]&lt;&gt;"request.status_changed","not_applicable",IF(COUNTIFS(tblLookupEntries[lookup_type],"request_transition",tblLookupEntries[key],IFERROR(MID(tblEventLog[[#This Row],[payload]],FIND("""from_status"": """,tblEventLog[[#This Row],[payload]])+16,FIND("""",tblEventLog[[#This Row],[payload]],FIND("""from_status"": """,tblEventLog[[#This Row],[payload]])+16)-FIND("""from_status"": """,tblEventLog[[#This Row],[payload]])-16),"")&amp;"&gt;"&amp;IFERROR(MID(tblEventLog[[#This Row],[payload]],FIND("""to_status"": """,tblEventLog[[#This Row],[payload]])+14,FIND("""",tblEventLog[[#This Row],[payload]],FIND("""to_status"": """,tblEventLog[[#This Row],[payload]])+14)-FIND("""to_status"": """,tblEventLog[[#This Row],[payload]])-14),""))&gt;0,"legal","illegal")))</f>
        <v/>
      </c>
    </row>
    <row r="26">
      <c r="A26" s="7" t="inlineStr">
        <is>
          <t>EVT-000022</t>
        </is>
      </c>
      <c r="B26" s="7" t="inlineStr">
        <is>
          <t>issue.resolved</t>
        </is>
      </c>
      <c r="C26" s="6" t="inlineStr">
        <is>
          <t>2026-09-23T16:00:00Z</t>
        </is>
      </c>
      <c r="D26" s="7" t="inlineStr">
        <is>
          <t>PER-000003</t>
        </is>
      </c>
      <c r="E26" s="7" t="inlineStr">
        <is>
          <t>human</t>
        </is>
      </c>
      <c r="F26" s="7" t="inlineStr">
        <is>
          <t>issue</t>
        </is>
      </c>
      <c r="G26" s="7" t="inlineStr">
        <is>
          <t>ISS-000004</t>
        </is>
      </c>
      <c r="H26" s="6" t="inlineStr">
        <is>
          <t>{"project_id": "PRJ-000003", "resolution_summary": "Classes were moved to separate time slots."}</t>
        </is>
      </c>
      <c r="I26" s="7" t="inlineStr">
        <is>
          <t>implementation-operating-system</t>
        </is>
      </c>
      <c r="J26" s="6" t="inlineStr">
        <is>
          <t>1.0.0</t>
        </is>
      </c>
      <c r="K26" s="14">
        <f>IF(tblEventLog[[#This Row],[event_id]]="","",IF(COUNTIFS(tblLookupEntries[lookup_type],"event_type",tblLookupEntries[key],tblEventLog[[#This Row],[event_type]])=0,"not_registered_for_v0_1",IF(COUNTIFS(tblLookupEntries[lookup_type],"event_type",tblLookupEntries[key],tblEventLog[[#This Row],[event_type]],tblLookupEntries[display_value],tblEventLog[[#This Row],[subject_type]])=0,"subject_type_mismatch","registered")))</f>
        <v/>
      </c>
      <c r="L26" s="14">
        <f>IF(tblEventLog[[#This Row],[event_id]]="","",IF(tblEventLog[[#This Row],[source_repo]]="implementation-operating-system","catalog_producer","wrong_source_repo"))</f>
        <v/>
      </c>
      <c r="M26" s="14">
        <f>IF(tblEventLog[[#This Row],[event_id]]="","",IF(tblEventLog[[#This Row],[actor_type]]="human",IF(LEFT(tblEventLog[[#This Row],[actor_id]],4)="PER-","valid","human_actor_not_person"),IF(tblEventLog[[#This Row],[actor_type]]="system",IF(COUNTIFS(tblLookupEntries[lookup_type],"rule_id",tblLookupEntries[key],tblEventLog[[#This Row],[actor_id]])&gt;0,"valid","unknown_system_actor"),IF(tblEventLog[[#This Row],[actor_type]]="ai_agent","ai_actor_not_used_in_v0_1","invalid_actor_type"))))</f>
        <v/>
      </c>
      <c r="N26" s="14">
        <f>IF(tblEventLog[[#This Row],[event_id]]="","",IF(LEFT(tblEventLog[[#This Row],[subject_id]],3)="PRJ",IF(COUNTIF(tblProjects[project_id],tblEventLog[[#This Row],[subject_id]])&gt;0,"found","missing"),IF(LEFT(tblEventLog[[#This Row],[subject_id]],3)="PHS",IF(COUNTIF(tblPhases[phase_id],tblEventLog[[#This Row],[subject_id]])&gt;0,"found","missing"),IF(LEFT(tblEventLog[[#This Row],[subject_id]],3)="MLS",IF(COUNTIF(tblMilestones[milestone_id],tblEventLog[[#This Row],[subject_id]])&gt;0,"found","missing"),IF(LEFT(tblEventLog[[#This Row],[subject_id]],3)="TSK",IF(COUNTIF(tblTasks[task_id],tblEventLog[[#This Row],[subject_id]])&gt;0,"found","missing"),IF(LEFT(tblEventLog[[#This Row],[subject_id]],3)="REQ",IF(COUNTIF(tblRequests[request_id],tblEventLog[[#This Row],[subject_id]])&gt;0,"found","missing"),IF(LEFT(tblEventLog[[#This Row],[subject_id]],3)="RSK",IF(COUNTIF(tblRisks[risk_id],tblEventLog[[#This Row],[subject_id]])&gt;0,"found","missing"),IF(LEFT(tblEventLog[[#This Row],[subject_id]],3)="ISS",IF(COUNTIF(tblIssues[issue_id],tblEventLog[[#This Row],[subject_id]])&gt;0,"found","missing"),IF(LEFT(tblEventLog[[#This Row],[subject_id]],3)="RDS",IF(COUNTIF(tblReadinessSummary[readiness_scorecard_id],tblEventLog[[#This Row],[subject_id]])&gt;0,"found","missing"),IF(LEFT(tblEventLog[[#This Row],[subject_id]],3)="GAT",IF(COUNTIF(tblGateAssessments[gate_assessment_id],tblEventLog[[#This Row],[subject_id]])&gt;0,"found","event_only_record"),IF(LEFT(tblEventLog[[#This Row],[subject_id]],3)="HND",IF(COUNTIF(tblHandoffs[handoff_id],tblEventLog[[#This Row],[subject_id]])&gt;0,"found","event_only_record"),"unsupported_subject")))))))))))</f>
        <v/>
      </c>
      <c r="O26" s="14">
        <f>IF(tblEventLog[[#This Row],[event_id]]="","",IF(AND(LEFT(TRIM(tblEventLog[[#This Row],[payload]]),1)="{",RIGHT(TRIM(tblEventLog[[#This Row],[payload]]),1)="}"),"object_text","not_json_object"))</f>
        <v/>
      </c>
      <c r="P26" s="14">
        <f>IF(tblEventLog[[#This Row],[event_id]]="","",IF(tblEventLog[[#This Row],[event_type]]&lt;&gt;"request.status_changed","not_applicable",IF(COUNTIFS(tblLookupEntries[lookup_type],"request_transition",tblLookupEntries[key],IFERROR(MID(tblEventLog[[#This Row],[payload]],FIND("""from_status"": """,tblEventLog[[#This Row],[payload]])+16,FIND("""",tblEventLog[[#This Row],[payload]],FIND("""from_status"": """,tblEventLog[[#This Row],[payload]])+16)-FIND("""from_status"": """,tblEventLog[[#This Row],[payload]])-16),"")&amp;"&gt;"&amp;IFERROR(MID(tblEventLog[[#This Row],[payload]],FIND("""to_status"": """,tblEventLog[[#This Row],[payload]])+14,FIND("""",tblEventLog[[#This Row],[payload]],FIND("""to_status"": """,tblEventLog[[#This Row],[payload]])+14)-FIND("""to_status"": """,tblEventLog[[#This Row],[payload]])-14),""))&gt;0,"legal","illegal")))</f>
        <v/>
      </c>
    </row>
    <row r="27">
      <c r="A27" s="7" t="inlineStr">
        <is>
          <t>EVT-000023</t>
        </is>
      </c>
      <c r="B27" s="7" t="inlineStr">
        <is>
          <t>request.status_changed</t>
        </is>
      </c>
      <c r="C27" s="6" t="inlineStr">
        <is>
          <t>2026-09-24T15:00:00Z</t>
        </is>
      </c>
      <c r="D27" s="7" t="inlineStr">
        <is>
          <t>PER-000002</t>
        </is>
      </c>
      <c r="E27" s="7" t="inlineStr">
        <is>
          <t>human</t>
        </is>
      </c>
      <c r="F27" s="7" t="inlineStr">
        <is>
          <t>request</t>
        </is>
      </c>
      <c r="G27" s="7" t="inlineStr">
        <is>
          <t>REQ-000002</t>
        </is>
      </c>
      <c r="H27" s="6" t="inlineStr">
        <is>
          <t>{"from_status": "in_progress", "to_status": "blocked", "reason": "Waiting for integration credentials from the customer."}</t>
        </is>
      </c>
      <c r="I27" s="7" t="inlineStr">
        <is>
          <t>implementation-operating-system</t>
        </is>
      </c>
      <c r="J27" s="6" t="inlineStr">
        <is>
          <t>1.0.0</t>
        </is>
      </c>
      <c r="K27" s="14">
        <f>IF(tblEventLog[[#This Row],[event_id]]="","",IF(COUNTIFS(tblLookupEntries[lookup_type],"event_type",tblLookupEntries[key],tblEventLog[[#This Row],[event_type]])=0,"not_registered_for_v0_1",IF(COUNTIFS(tblLookupEntries[lookup_type],"event_type",tblLookupEntries[key],tblEventLog[[#This Row],[event_type]],tblLookupEntries[display_value],tblEventLog[[#This Row],[subject_type]])=0,"subject_type_mismatch","registered")))</f>
        <v/>
      </c>
      <c r="L27" s="14">
        <f>IF(tblEventLog[[#This Row],[event_id]]="","",IF(tblEventLog[[#This Row],[source_repo]]="implementation-operating-system","catalog_producer","wrong_source_repo"))</f>
        <v/>
      </c>
      <c r="M27" s="14">
        <f>IF(tblEventLog[[#This Row],[event_id]]="","",IF(tblEventLog[[#This Row],[actor_type]]="human",IF(LEFT(tblEventLog[[#This Row],[actor_id]],4)="PER-","valid","human_actor_not_person"),IF(tblEventLog[[#This Row],[actor_type]]="system",IF(COUNTIFS(tblLookupEntries[lookup_type],"rule_id",tblLookupEntries[key],tblEventLog[[#This Row],[actor_id]])&gt;0,"valid","unknown_system_actor"),IF(tblEventLog[[#This Row],[actor_type]]="ai_agent","ai_actor_not_used_in_v0_1","invalid_actor_type"))))</f>
        <v/>
      </c>
      <c r="N27" s="14">
        <f>IF(tblEventLog[[#This Row],[event_id]]="","",IF(LEFT(tblEventLog[[#This Row],[subject_id]],3)="PRJ",IF(COUNTIF(tblProjects[project_id],tblEventLog[[#This Row],[subject_id]])&gt;0,"found","missing"),IF(LEFT(tblEventLog[[#This Row],[subject_id]],3)="PHS",IF(COUNTIF(tblPhases[phase_id],tblEventLog[[#This Row],[subject_id]])&gt;0,"found","missing"),IF(LEFT(tblEventLog[[#This Row],[subject_id]],3)="MLS",IF(COUNTIF(tblMilestones[milestone_id],tblEventLog[[#This Row],[subject_id]])&gt;0,"found","missing"),IF(LEFT(tblEventLog[[#This Row],[subject_id]],3)="TSK",IF(COUNTIF(tblTasks[task_id],tblEventLog[[#This Row],[subject_id]])&gt;0,"found","missing"),IF(LEFT(tblEventLog[[#This Row],[subject_id]],3)="REQ",IF(COUNTIF(tblRequests[request_id],tblEventLog[[#This Row],[subject_id]])&gt;0,"found","missing"),IF(LEFT(tblEventLog[[#This Row],[subject_id]],3)="RSK",IF(COUNTIF(tblRisks[risk_id],tblEventLog[[#This Row],[subject_id]])&gt;0,"found","missing"),IF(LEFT(tblEventLog[[#This Row],[subject_id]],3)="ISS",IF(COUNTIF(tblIssues[issue_id],tblEventLog[[#This Row],[subject_id]])&gt;0,"found","missing"),IF(LEFT(tblEventLog[[#This Row],[subject_id]],3)="RDS",IF(COUNTIF(tblReadinessSummary[readiness_scorecard_id],tblEventLog[[#This Row],[subject_id]])&gt;0,"found","missing"),IF(LEFT(tblEventLog[[#This Row],[subject_id]],3)="GAT",IF(COUNTIF(tblGateAssessments[gate_assessment_id],tblEventLog[[#This Row],[subject_id]])&gt;0,"found","event_only_record"),IF(LEFT(tblEventLog[[#This Row],[subject_id]],3)="HND",IF(COUNTIF(tblHandoffs[handoff_id],tblEventLog[[#This Row],[subject_id]])&gt;0,"found","event_only_record"),"unsupported_subject")))))))))))</f>
        <v/>
      </c>
      <c r="O27" s="14">
        <f>IF(tblEventLog[[#This Row],[event_id]]="","",IF(AND(LEFT(TRIM(tblEventLog[[#This Row],[payload]]),1)="{",RIGHT(TRIM(tblEventLog[[#This Row],[payload]]),1)="}"),"object_text","not_json_object"))</f>
        <v/>
      </c>
      <c r="P27" s="14">
        <f>IF(tblEventLog[[#This Row],[event_id]]="","",IF(tblEventLog[[#This Row],[event_type]]&lt;&gt;"request.status_changed","not_applicable",IF(COUNTIFS(tblLookupEntries[lookup_type],"request_transition",tblLookupEntries[key],IFERROR(MID(tblEventLog[[#This Row],[payload]],FIND("""from_status"": """,tblEventLog[[#This Row],[payload]])+16,FIND("""",tblEventLog[[#This Row],[payload]],FIND("""from_status"": """,tblEventLog[[#This Row],[payload]])+16)-FIND("""from_status"": """,tblEventLog[[#This Row],[payload]])-16),"")&amp;"&gt;"&amp;IFERROR(MID(tblEventLog[[#This Row],[payload]],FIND("""to_status"": """,tblEventLog[[#This Row],[payload]])+14,FIND("""",tblEventLog[[#This Row],[payload]],FIND("""to_status"": """,tblEventLog[[#This Row],[payload]])+14)-FIND("""to_status"": """,tblEventLog[[#This Row],[payload]])-14),""))&gt;0,"legal","illegal")))</f>
        <v/>
      </c>
    </row>
    <row r="28">
      <c r="A28" s="7" t="inlineStr">
        <is>
          <t>EVT-000024</t>
        </is>
      </c>
      <c r="B28" s="7" t="inlineStr">
        <is>
          <t>task.status_changed</t>
        </is>
      </c>
      <c r="C28" s="6" t="inlineStr">
        <is>
          <t>2026-09-24T15:30:00Z</t>
        </is>
      </c>
      <c r="D28" s="7" t="inlineStr">
        <is>
          <t>PER-000002</t>
        </is>
      </c>
      <c r="E28" s="7" t="inlineStr">
        <is>
          <t>human</t>
        </is>
      </c>
      <c r="F28" s="7" t="inlineStr">
        <is>
          <t>task</t>
        </is>
      </c>
      <c r="G28" s="7" t="inlineStr">
        <is>
          <t>TSK-000011</t>
        </is>
      </c>
      <c r="H28" s="6" t="inlineStr">
        <is>
          <t>{"project_id": "PRJ-000002", "from_status": "in_progress", "to_status": "blocked"}</t>
        </is>
      </c>
      <c r="I28" s="7" t="inlineStr">
        <is>
          <t>implementation-operating-system</t>
        </is>
      </c>
      <c r="J28" s="6" t="inlineStr">
        <is>
          <t>1.0.0</t>
        </is>
      </c>
      <c r="K28" s="14">
        <f>IF(tblEventLog[[#This Row],[event_id]]="","",IF(COUNTIFS(tblLookupEntries[lookup_type],"event_type",tblLookupEntries[key],tblEventLog[[#This Row],[event_type]])=0,"not_registered_for_v0_1",IF(COUNTIFS(tblLookupEntries[lookup_type],"event_type",tblLookupEntries[key],tblEventLog[[#This Row],[event_type]],tblLookupEntries[display_value],tblEventLog[[#This Row],[subject_type]])=0,"subject_type_mismatch","registered")))</f>
        <v/>
      </c>
      <c r="L28" s="14">
        <f>IF(tblEventLog[[#This Row],[event_id]]="","",IF(tblEventLog[[#This Row],[source_repo]]="implementation-operating-system","catalog_producer","wrong_source_repo"))</f>
        <v/>
      </c>
      <c r="M28" s="14">
        <f>IF(tblEventLog[[#This Row],[event_id]]="","",IF(tblEventLog[[#This Row],[actor_type]]="human",IF(LEFT(tblEventLog[[#This Row],[actor_id]],4)="PER-","valid","human_actor_not_person"),IF(tblEventLog[[#This Row],[actor_type]]="system",IF(COUNTIFS(tblLookupEntries[lookup_type],"rule_id",tblLookupEntries[key],tblEventLog[[#This Row],[actor_id]])&gt;0,"valid","unknown_system_actor"),IF(tblEventLog[[#This Row],[actor_type]]="ai_agent","ai_actor_not_used_in_v0_1","invalid_actor_type"))))</f>
        <v/>
      </c>
      <c r="N28" s="14">
        <f>IF(tblEventLog[[#This Row],[event_id]]="","",IF(LEFT(tblEventLog[[#This Row],[subject_id]],3)="PRJ",IF(COUNTIF(tblProjects[project_id],tblEventLog[[#This Row],[subject_id]])&gt;0,"found","missing"),IF(LEFT(tblEventLog[[#This Row],[subject_id]],3)="PHS",IF(COUNTIF(tblPhases[phase_id],tblEventLog[[#This Row],[subject_id]])&gt;0,"found","missing"),IF(LEFT(tblEventLog[[#This Row],[subject_id]],3)="MLS",IF(COUNTIF(tblMilestones[milestone_id],tblEventLog[[#This Row],[subject_id]])&gt;0,"found","missing"),IF(LEFT(tblEventLog[[#This Row],[subject_id]],3)="TSK",IF(COUNTIF(tblTasks[task_id],tblEventLog[[#This Row],[subject_id]])&gt;0,"found","missing"),IF(LEFT(tblEventLog[[#This Row],[subject_id]],3)="REQ",IF(COUNTIF(tblRequests[request_id],tblEventLog[[#This Row],[subject_id]])&gt;0,"found","missing"),IF(LEFT(tblEventLog[[#This Row],[subject_id]],3)="RSK",IF(COUNTIF(tblRisks[risk_id],tblEventLog[[#This Row],[subject_id]])&gt;0,"found","missing"),IF(LEFT(tblEventLog[[#This Row],[subject_id]],3)="ISS",IF(COUNTIF(tblIssues[issue_id],tblEventLog[[#This Row],[subject_id]])&gt;0,"found","missing"),IF(LEFT(tblEventLog[[#This Row],[subject_id]],3)="RDS",IF(COUNTIF(tblReadinessSummary[readiness_scorecard_id],tblEventLog[[#This Row],[subject_id]])&gt;0,"found","missing"),IF(LEFT(tblEventLog[[#This Row],[subject_id]],3)="GAT",IF(COUNTIF(tblGateAssessments[gate_assessment_id],tblEventLog[[#This Row],[subject_id]])&gt;0,"found","event_only_record"),IF(LEFT(tblEventLog[[#This Row],[subject_id]],3)="HND",IF(COUNTIF(tblHandoffs[handoff_id],tblEventLog[[#This Row],[subject_id]])&gt;0,"found","event_only_record"),"unsupported_subject")))))))))))</f>
        <v/>
      </c>
      <c r="O28" s="14">
        <f>IF(tblEventLog[[#This Row],[event_id]]="","",IF(AND(LEFT(TRIM(tblEventLog[[#This Row],[payload]]),1)="{",RIGHT(TRIM(tblEventLog[[#This Row],[payload]]),1)="}"),"object_text","not_json_object"))</f>
        <v/>
      </c>
      <c r="P28" s="14">
        <f>IF(tblEventLog[[#This Row],[event_id]]="","",IF(tblEventLog[[#This Row],[event_type]]&lt;&gt;"request.status_changed","not_applicable",IF(COUNTIFS(tblLookupEntries[lookup_type],"request_transition",tblLookupEntries[key],IFERROR(MID(tblEventLog[[#This Row],[payload]],FIND("""from_status"": """,tblEventLog[[#This Row],[payload]])+16,FIND("""",tblEventLog[[#This Row],[payload]],FIND("""from_status"": """,tblEventLog[[#This Row],[payload]])+16)-FIND("""from_status"": """,tblEventLog[[#This Row],[payload]])-16),"")&amp;"&gt;"&amp;IFERROR(MID(tblEventLog[[#This Row],[payload]],FIND("""to_status"": """,tblEventLog[[#This Row],[payload]])+14,FIND("""",tblEventLog[[#This Row],[payload]],FIND("""to_status"": """,tblEventLog[[#This Row],[payload]])+14)-FIND("""to_status"": """,tblEventLog[[#This Row],[payload]])-14),""))&gt;0,"legal","illegal")))</f>
        <v/>
      </c>
    </row>
    <row r="29">
      <c r="A29" s="7" t="inlineStr">
        <is>
          <t>EVT-000025</t>
        </is>
      </c>
      <c r="B29" s="7" t="inlineStr">
        <is>
          <t>risk.status_changed</t>
        </is>
      </c>
      <c r="C29" s="6" t="inlineStr">
        <is>
          <t>2026-09-24T16:00:00Z</t>
        </is>
      </c>
      <c r="D29" s="7" t="inlineStr">
        <is>
          <t>PER-000002</t>
        </is>
      </c>
      <c r="E29" s="7" t="inlineStr">
        <is>
          <t>human</t>
        </is>
      </c>
      <c r="F29" s="7" t="inlineStr">
        <is>
          <t>risk</t>
        </is>
      </c>
      <c r="G29" s="7" t="inlineStr">
        <is>
          <t>RSK-000002</t>
        </is>
      </c>
      <c r="H29" s="6" t="inlineStr">
        <is>
          <t>{"from_status": "open", "to_status": "mitigating", "risk_score": 12}</t>
        </is>
      </c>
      <c r="I29" s="7" t="inlineStr">
        <is>
          <t>implementation-operating-system</t>
        </is>
      </c>
      <c r="J29" s="6" t="inlineStr">
        <is>
          <t>1.0.0</t>
        </is>
      </c>
      <c r="K29" s="14">
        <f>IF(tblEventLog[[#This Row],[event_id]]="","",IF(COUNTIFS(tblLookupEntries[lookup_type],"event_type",tblLookupEntries[key],tblEventLog[[#This Row],[event_type]])=0,"not_registered_for_v0_1",IF(COUNTIFS(tblLookupEntries[lookup_type],"event_type",tblLookupEntries[key],tblEventLog[[#This Row],[event_type]],tblLookupEntries[display_value],tblEventLog[[#This Row],[subject_type]])=0,"subject_type_mismatch","registered")))</f>
        <v/>
      </c>
      <c r="L29" s="14">
        <f>IF(tblEventLog[[#This Row],[event_id]]="","",IF(tblEventLog[[#This Row],[source_repo]]="implementation-operating-system","catalog_producer","wrong_source_repo"))</f>
        <v/>
      </c>
      <c r="M29" s="14">
        <f>IF(tblEventLog[[#This Row],[event_id]]="","",IF(tblEventLog[[#This Row],[actor_type]]="human",IF(LEFT(tblEventLog[[#This Row],[actor_id]],4)="PER-","valid","human_actor_not_person"),IF(tblEventLog[[#This Row],[actor_type]]="system",IF(COUNTIFS(tblLookupEntries[lookup_type],"rule_id",tblLookupEntries[key],tblEventLog[[#This Row],[actor_id]])&gt;0,"valid","unknown_system_actor"),IF(tblEventLog[[#This Row],[actor_type]]="ai_agent","ai_actor_not_used_in_v0_1","invalid_actor_type"))))</f>
        <v/>
      </c>
      <c r="N29" s="14">
        <f>IF(tblEventLog[[#This Row],[event_id]]="","",IF(LEFT(tblEventLog[[#This Row],[subject_id]],3)="PRJ",IF(COUNTIF(tblProjects[project_id],tblEventLog[[#This Row],[subject_id]])&gt;0,"found","missing"),IF(LEFT(tblEventLog[[#This Row],[subject_id]],3)="PHS",IF(COUNTIF(tblPhases[phase_id],tblEventLog[[#This Row],[subject_id]])&gt;0,"found","missing"),IF(LEFT(tblEventLog[[#This Row],[subject_id]],3)="MLS",IF(COUNTIF(tblMilestones[milestone_id],tblEventLog[[#This Row],[subject_id]])&gt;0,"found","missing"),IF(LEFT(tblEventLog[[#This Row],[subject_id]],3)="TSK",IF(COUNTIF(tblTasks[task_id],tblEventLog[[#This Row],[subject_id]])&gt;0,"found","missing"),IF(LEFT(tblEventLog[[#This Row],[subject_id]],3)="REQ",IF(COUNTIF(tblRequests[request_id],tblEventLog[[#This Row],[subject_id]])&gt;0,"found","missing"),IF(LEFT(tblEventLog[[#This Row],[subject_id]],3)="RSK",IF(COUNTIF(tblRisks[risk_id],tblEventLog[[#This Row],[subject_id]])&gt;0,"found","missing"),IF(LEFT(tblEventLog[[#This Row],[subject_id]],3)="ISS",IF(COUNTIF(tblIssues[issue_id],tblEventLog[[#This Row],[subject_id]])&gt;0,"found","missing"),IF(LEFT(tblEventLog[[#This Row],[subject_id]],3)="RDS",IF(COUNTIF(tblReadinessSummary[readiness_scorecard_id],tblEventLog[[#This Row],[subject_id]])&gt;0,"found","missing"),IF(LEFT(tblEventLog[[#This Row],[subject_id]],3)="GAT",IF(COUNTIF(tblGateAssessments[gate_assessment_id],tblEventLog[[#This Row],[subject_id]])&gt;0,"found","event_only_record"),IF(LEFT(tblEventLog[[#This Row],[subject_id]],3)="HND",IF(COUNTIF(tblHandoffs[handoff_id],tblEventLog[[#This Row],[subject_id]])&gt;0,"found","event_only_record"),"unsupported_subject")))))))))))</f>
        <v/>
      </c>
      <c r="O29" s="14">
        <f>IF(tblEventLog[[#This Row],[event_id]]="","",IF(AND(LEFT(TRIM(tblEventLog[[#This Row],[payload]]),1)="{",RIGHT(TRIM(tblEventLog[[#This Row],[payload]]),1)="}"),"object_text","not_json_object"))</f>
        <v/>
      </c>
      <c r="P29" s="14">
        <f>IF(tblEventLog[[#This Row],[event_id]]="","",IF(tblEventLog[[#This Row],[event_type]]&lt;&gt;"request.status_changed","not_applicable",IF(COUNTIFS(tblLookupEntries[lookup_type],"request_transition",tblLookupEntries[key],IFERROR(MID(tblEventLog[[#This Row],[payload]],FIND("""from_status"": """,tblEventLog[[#This Row],[payload]])+16,FIND("""",tblEventLog[[#This Row],[payload]],FIND("""from_status"": """,tblEventLog[[#This Row],[payload]])+16)-FIND("""from_status"": """,tblEventLog[[#This Row],[payload]])-16),"")&amp;"&gt;"&amp;IFERROR(MID(tblEventLog[[#This Row],[payload]],FIND("""to_status"": """,tblEventLog[[#This Row],[payload]])+14,FIND("""",tblEventLog[[#This Row],[payload]],FIND("""to_status"": """,tblEventLog[[#This Row],[payload]])+14)-FIND("""to_status"": """,tblEventLog[[#This Row],[payload]])-14),""))&gt;0,"legal","illegal")))</f>
        <v/>
      </c>
    </row>
    <row r="30">
      <c r="A30" s="7" t="inlineStr">
        <is>
          <t>EVT-000026</t>
        </is>
      </c>
      <c r="B30" s="7" t="inlineStr">
        <is>
          <t>issue.logged</t>
        </is>
      </c>
      <c r="C30" s="6" t="inlineStr">
        <is>
          <t>2026-09-24T17:00:00Z</t>
        </is>
      </c>
      <c r="D30" s="7" t="inlineStr">
        <is>
          <t>PER-000002</t>
        </is>
      </c>
      <c r="E30" s="7" t="inlineStr">
        <is>
          <t>human</t>
        </is>
      </c>
      <c r="F30" s="7" t="inlineStr">
        <is>
          <t>issue</t>
        </is>
      </c>
      <c r="G30" s="7" t="inlineStr">
        <is>
          <t>ISS-000002</t>
        </is>
      </c>
      <c r="H30" s="6" t="inlineStr">
        <is>
          <t>{"project_id": "PRJ-000002", "severity": "sev2"}</t>
        </is>
      </c>
      <c r="I30" s="7" t="inlineStr">
        <is>
          <t>implementation-operating-system</t>
        </is>
      </c>
      <c r="J30" s="6" t="inlineStr">
        <is>
          <t>1.0.0</t>
        </is>
      </c>
      <c r="K30" s="14">
        <f>IF(tblEventLog[[#This Row],[event_id]]="","",IF(COUNTIFS(tblLookupEntries[lookup_type],"event_type",tblLookupEntries[key],tblEventLog[[#This Row],[event_type]])=0,"not_registered_for_v0_1",IF(COUNTIFS(tblLookupEntries[lookup_type],"event_type",tblLookupEntries[key],tblEventLog[[#This Row],[event_type]],tblLookupEntries[display_value],tblEventLog[[#This Row],[subject_type]])=0,"subject_type_mismatch","registered")))</f>
        <v/>
      </c>
      <c r="L30" s="14">
        <f>IF(tblEventLog[[#This Row],[event_id]]="","",IF(tblEventLog[[#This Row],[source_repo]]="implementation-operating-system","catalog_producer","wrong_source_repo"))</f>
        <v/>
      </c>
      <c r="M30" s="14">
        <f>IF(tblEventLog[[#This Row],[event_id]]="","",IF(tblEventLog[[#This Row],[actor_type]]="human",IF(LEFT(tblEventLog[[#This Row],[actor_id]],4)="PER-","valid","human_actor_not_person"),IF(tblEventLog[[#This Row],[actor_type]]="system",IF(COUNTIFS(tblLookupEntries[lookup_type],"rule_id",tblLookupEntries[key],tblEventLog[[#This Row],[actor_id]])&gt;0,"valid","unknown_system_actor"),IF(tblEventLog[[#This Row],[actor_type]]="ai_agent","ai_actor_not_used_in_v0_1","invalid_actor_type"))))</f>
        <v/>
      </c>
      <c r="N30" s="14">
        <f>IF(tblEventLog[[#This Row],[event_id]]="","",IF(LEFT(tblEventLog[[#This Row],[subject_id]],3)="PRJ",IF(COUNTIF(tblProjects[project_id],tblEventLog[[#This Row],[subject_id]])&gt;0,"found","missing"),IF(LEFT(tblEventLog[[#This Row],[subject_id]],3)="PHS",IF(COUNTIF(tblPhases[phase_id],tblEventLog[[#This Row],[subject_id]])&gt;0,"found","missing"),IF(LEFT(tblEventLog[[#This Row],[subject_id]],3)="MLS",IF(COUNTIF(tblMilestones[milestone_id],tblEventLog[[#This Row],[subject_id]])&gt;0,"found","missing"),IF(LEFT(tblEventLog[[#This Row],[subject_id]],3)="TSK",IF(COUNTIF(tblTasks[task_id],tblEventLog[[#This Row],[subject_id]])&gt;0,"found","missing"),IF(LEFT(tblEventLog[[#This Row],[subject_id]],3)="REQ",IF(COUNTIF(tblRequests[request_id],tblEventLog[[#This Row],[subject_id]])&gt;0,"found","missing"),IF(LEFT(tblEventLog[[#This Row],[subject_id]],3)="RSK",IF(COUNTIF(tblRisks[risk_id],tblEventLog[[#This Row],[subject_id]])&gt;0,"found","missing"),IF(LEFT(tblEventLog[[#This Row],[subject_id]],3)="ISS",IF(COUNTIF(tblIssues[issue_id],tblEventLog[[#This Row],[subject_id]])&gt;0,"found","missing"),IF(LEFT(tblEventLog[[#This Row],[subject_id]],3)="RDS",IF(COUNTIF(tblReadinessSummary[readiness_scorecard_id],tblEventLog[[#This Row],[subject_id]])&gt;0,"found","missing"),IF(LEFT(tblEventLog[[#This Row],[subject_id]],3)="GAT",IF(COUNTIF(tblGateAssessments[gate_assessment_id],tblEventLog[[#This Row],[subject_id]])&gt;0,"found","event_only_record"),IF(LEFT(tblEventLog[[#This Row],[subject_id]],3)="HND",IF(COUNTIF(tblHandoffs[handoff_id],tblEventLog[[#This Row],[subject_id]])&gt;0,"found","event_only_record"),"unsupported_subject")))))))))))</f>
        <v/>
      </c>
      <c r="O30" s="14">
        <f>IF(tblEventLog[[#This Row],[event_id]]="","",IF(AND(LEFT(TRIM(tblEventLog[[#This Row],[payload]]),1)="{",RIGHT(TRIM(tblEventLog[[#This Row],[payload]]),1)="}"),"object_text","not_json_object"))</f>
        <v/>
      </c>
      <c r="P30" s="14">
        <f>IF(tblEventLog[[#This Row],[event_id]]="","",IF(tblEventLog[[#This Row],[event_type]]&lt;&gt;"request.status_changed","not_applicable",IF(COUNTIFS(tblLookupEntries[lookup_type],"request_transition",tblLookupEntries[key],IFERROR(MID(tblEventLog[[#This Row],[payload]],FIND("""from_status"": """,tblEventLog[[#This Row],[payload]])+16,FIND("""",tblEventLog[[#This Row],[payload]],FIND("""from_status"": """,tblEventLog[[#This Row],[payload]])+16)-FIND("""from_status"": """,tblEventLog[[#This Row],[payload]])-16),"")&amp;"&gt;"&amp;IFERROR(MID(tblEventLog[[#This Row],[payload]],FIND("""to_status"": """,tblEventLog[[#This Row],[payload]])+14,FIND("""",tblEventLog[[#This Row],[payload]],FIND("""to_status"": """,tblEventLog[[#This Row],[payload]])+14)-FIND("""to_status"": """,tblEventLog[[#This Row],[payload]])-14),""))&gt;0,"legal","illegal")))</f>
        <v/>
      </c>
    </row>
    <row r="31">
      <c r="A31" s="7" t="inlineStr">
        <is>
          <t>EVT-000027</t>
        </is>
      </c>
      <c r="B31" s="7" t="inlineStr">
        <is>
          <t>request.escalated</t>
        </is>
      </c>
      <c r="C31" s="6" t="inlineStr">
        <is>
          <t>2026-09-26T15:00:00Z</t>
        </is>
      </c>
      <c r="D31" s="7" t="inlineStr">
        <is>
          <t>RUL-000003</t>
        </is>
      </c>
      <c r="E31" s="7" t="inlineStr">
        <is>
          <t>system</t>
        </is>
      </c>
      <c r="F31" s="7" t="inlineStr">
        <is>
          <t>request</t>
        </is>
      </c>
      <c r="G31" s="7" t="inlineStr">
        <is>
          <t>REQ-000002</t>
        </is>
      </c>
      <c r="H31" s="6" t="inlineStr">
        <is>
          <t>{"rule_id": "RUL-000003", "escalation_role_id": "ROL-000003", "severity": "sev2"}</t>
        </is>
      </c>
      <c r="I31" s="7" t="inlineStr">
        <is>
          <t>implementation-operating-system</t>
        </is>
      </c>
      <c r="J31" s="6" t="inlineStr">
        <is>
          <t>1.0.0</t>
        </is>
      </c>
      <c r="K31" s="14">
        <f>IF(tblEventLog[[#This Row],[event_id]]="","",IF(COUNTIFS(tblLookupEntries[lookup_type],"event_type",tblLookupEntries[key],tblEventLog[[#This Row],[event_type]])=0,"not_registered_for_v0_1",IF(COUNTIFS(tblLookupEntries[lookup_type],"event_type",tblLookupEntries[key],tblEventLog[[#This Row],[event_type]],tblLookupEntries[display_value],tblEventLog[[#This Row],[subject_type]])=0,"subject_type_mismatch","registered")))</f>
        <v/>
      </c>
      <c r="L31" s="14">
        <f>IF(tblEventLog[[#This Row],[event_id]]="","",IF(tblEventLog[[#This Row],[source_repo]]="implementation-operating-system","catalog_producer","wrong_source_repo"))</f>
        <v/>
      </c>
      <c r="M31" s="14">
        <f>IF(tblEventLog[[#This Row],[event_id]]="","",IF(tblEventLog[[#This Row],[actor_type]]="human",IF(LEFT(tblEventLog[[#This Row],[actor_id]],4)="PER-","valid","human_actor_not_person"),IF(tblEventLog[[#This Row],[actor_type]]="system",IF(COUNTIFS(tblLookupEntries[lookup_type],"rule_id",tblLookupEntries[key],tblEventLog[[#This Row],[actor_id]])&gt;0,"valid","unknown_system_actor"),IF(tblEventLog[[#This Row],[actor_type]]="ai_agent","ai_actor_not_used_in_v0_1","invalid_actor_type"))))</f>
        <v/>
      </c>
      <c r="N31" s="14">
        <f>IF(tblEventLog[[#This Row],[event_id]]="","",IF(LEFT(tblEventLog[[#This Row],[subject_id]],3)="PRJ",IF(COUNTIF(tblProjects[project_id],tblEventLog[[#This Row],[subject_id]])&gt;0,"found","missing"),IF(LEFT(tblEventLog[[#This Row],[subject_id]],3)="PHS",IF(COUNTIF(tblPhases[phase_id],tblEventLog[[#This Row],[subject_id]])&gt;0,"found","missing"),IF(LEFT(tblEventLog[[#This Row],[subject_id]],3)="MLS",IF(COUNTIF(tblMilestones[milestone_id],tblEventLog[[#This Row],[subject_id]])&gt;0,"found","missing"),IF(LEFT(tblEventLog[[#This Row],[subject_id]],3)="TSK",IF(COUNTIF(tblTasks[task_id],tblEventLog[[#This Row],[subject_id]])&gt;0,"found","missing"),IF(LEFT(tblEventLog[[#This Row],[subject_id]],3)="REQ",IF(COUNTIF(tblRequests[request_id],tblEventLog[[#This Row],[subject_id]])&gt;0,"found","missing"),IF(LEFT(tblEventLog[[#This Row],[subject_id]],3)="RSK",IF(COUNTIF(tblRisks[risk_id],tblEventLog[[#This Row],[subject_id]])&gt;0,"found","missing"),IF(LEFT(tblEventLog[[#This Row],[subject_id]],3)="ISS",IF(COUNTIF(tblIssues[issue_id],tblEventLog[[#This Row],[subject_id]])&gt;0,"found","missing"),IF(LEFT(tblEventLog[[#This Row],[subject_id]],3)="RDS",IF(COUNTIF(tblReadinessSummary[readiness_scorecard_id],tblEventLog[[#This Row],[subject_id]])&gt;0,"found","missing"),IF(LEFT(tblEventLog[[#This Row],[subject_id]],3)="GAT",IF(COUNTIF(tblGateAssessments[gate_assessment_id],tblEventLog[[#This Row],[subject_id]])&gt;0,"found","event_only_record"),IF(LEFT(tblEventLog[[#This Row],[subject_id]],3)="HND",IF(COUNTIF(tblHandoffs[handoff_id],tblEventLog[[#This Row],[subject_id]])&gt;0,"found","event_only_record"),"unsupported_subject")))))))))))</f>
        <v/>
      </c>
      <c r="O31" s="14">
        <f>IF(tblEventLog[[#This Row],[event_id]]="","",IF(AND(LEFT(TRIM(tblEventLog[[#This Row],[payload]]),1)="{",RIGHT(TRIM(tblEventLog[[#This Row],[payload]]),1)="}"),"object_text","not_json_object"))</f>
        <v/>
      </c>
      <c r="P31" s="14">
        <f>IF(tblEventLog[[#This Row],[event_id]]="","",IF(tblEventLog[[#This Row],[event_type]]&lt;&gt;"request.status_changed","not_applicable",IF(COUNTIFS(tblLookupEntries[lookup_type],"request_transition",tblLookupEntries[key],IFERROR(MID(tblEventLog[[#This Row],[payload]],FIND("""from_status"": """,tblEventLog[[#This Row],[payload]])+16,FIND("""",tblEventLog[[#This Row],[payload]],FIND("""from_status"": """,tblEventLog[[#This Row],[payload]])+16)-FIND("""from_status"": """,tblEventLog[[#This Row],[payload]])-16),"")&amp;"&gt;"&amp;IFERROR(MID(tblEventLog[[#This Row],[payload]],FIND("""to_status"": """,tblEventLog[[#This Row],[payload]])+14,FIND("""",tblEventLog[[#This Row],[payload]],FIND("""to_status"": """,tblEventLog[[#This Row],[payload]])+14)-FIND("""to_status"": """,tblEventLog[[#This Row],[payload]])-14),""))&gt;0,"legal","illegal")))</f>
        <v/>
      </c>
    </row>
    <row r="32">
      <c r="A32" s="7" t="inlineStr">
        <is>
          <t>EVT-000028</t>
        </is>
      </c>
      <c r="B32" s="7" t="inlineStr">
        <is>
          <t>milestone.achieved</t>
        </is>
      </c>
      <c r="C32" s="6" t="inlineStr">
        <is>
          <t>2026-09-29T19:30:00Z</t>
        </is>
      </c>
      <c r="D32" s="7" t="inlineStr">
        <is>
          <t>PER-000003</t>
        </is>
      </c>
      <c r="E32" s="7" t="inlineStr">
        <is>
          <t>human</t>
        </is>
      </c>
      <c r="F32" s="7" t="inlineStr">
        <is>
          <t>milestone</t>
        </is>
      </c>
      <c r="G32" s="7" t="inlineStr">
        <is>
          <t>MLS-000011</t>
        </is>
      </c>
      <c r="H32" s="6" t="inlineStr">
        <is>
          <t>{"project_id": "PRJ-000003", "achieved_date": "2026-09-29"}</t>
        </is>
      </c>
      <c r="I32" s="7" t="inlineStr">
        <is>
          <t>implementation-operating-system</t>
        </is>
      </c>
      <c r="J32" s="6" t="inlineStr">
        <is>
          <t>1.0.0</t>
        </is>
      </c>
      <c r="K32" s="14">
        <f>IF(tblEventLog[[#This Row],[event_id]]="","",IF(COUNTIFS(tblLookupEntries[lookup_type],"event_type",tblLookupEntries[key],tblEventLog[[#This Row],[event_type]])=0,"not_registered_for_v0_1",IF(COUNTIFS(tblLookupEntries[lookup_type],"event_type",tblLookupEntries[key],tblEventLog[[#This Row],[event_type]],tblLookupEntries[display_value],tblEventLog[[#This Row],[subject_type]])=0,"subject_type_mismatch","registered")))</f>
        <v/>
      </c>
      <c r="L32" s="14">
        <f>IF(tblEventLog[[#This Row],[event_id]]="","",IF(tblEventLog[[#This Row],[source_repo]]="implementation-operating-system","catalog_producer","wrong_source_repo"))</f>
        <v/>
      </c>
      <c r="M32" s="14">
        <f>IF(tblEventLog[[#This Row],[event_id]]="","",IF(tblEventLog[[#This Row],[actor_type]]="human",IF(LEFT(tblEventLog[[#This Row],[actor_id]],4)="PER-","valid","human_actor_not_person"),IF(tblEventLog[[#This Row],[actor_type]]="system",IF(COUNTIFS(tblLookupEntries[lookup_type],"rule_id",tblLookupEntries[key],tblEventLog[[#This Row],[actor_id]])&gt;0,"valid","unknown_system_actor"),IF(tblEventLog[[#This Row],[actor_type]]="ai_agent","ai_actor_not_used_in_v0_1","invalid_actor_type"))))</f>
        <v/>
      </c>
      <c r="N32" s="14">
        <f>IF(tblEventLog[[#This Row],[event_id]]="","",IF(LEFT(tblEventLog[[#This Row],[subject_id]],3)="PRJ",IF(COUNTIF(tblProjects[project_id],tblEventLog[[#This Row],[subject_id]])&gt;0,"found","missing"),IF(LEFT(tblEventLog[[#This Row],[subject_id]],3)="PHS",IF(COUNTIF(tblPhases[phase_id],tblEventLog[[#This Row],[subject_id]])&gt;0,"found","missing"),IF(LEFT(tblEventLog[[#This Row],[subject_id]],3)="MLS",IF(COUNTIF(tblMilestones[milestone_id],tblEventLog[[#This Row],[subject_id]])&gt;0,"found","missing"),IF(LEFT(tblEventLog[[#This Row],[subject_id]],3)="TSK",IF(COUNTIF(tblTasks[task_id],tblEventLog[[#This Row],[subject_id]])&gt;0,"found","missing"),IF(LEFT(tblEventLog[[#This Row],[subject_id]],3)="REQ",IF(COUNTIF(tblRequests[request_id],tblEventLog[[#This Row],[subject_id]])&gt;0,"found","missing"),IF(LEFT(tblEventLog[[#This Row],[subject_id]],3)="RSK",IF(COUNTIF(tblRisks[risk_id],tblEventLog[[#This Row],[subject_id]])&gt;0,"found","missing"),IF(LEFT(tblEventLog[[#This Row],[subject_id]],3)="ISS",IF(COUNTIF(tblIssues[issue_id],tblEventLog[[#This Row],[subject_id]])&gt;0,"found","missing"),IF(LEFT(tblEventLog[[#This Row],[subject_id]],3)="RDS",IF(COUNTIF(tblReadinessSummary[readiness_scorecard_id],tblEventLog[[#This Row],[subject_id]])&gt;0,"found","missing"),IF(LEFT(tblEventLog[[#This Row],[subject_id]],3)="GAT",IF(COUNTIF(tblGateAssessments[gate_assessment_id],tblEventLog[[#This Row],[subject_id]])&gt;0,"found","event_only_record"),IF(LEFT(tblEventLog[[#This Row],[subject_id]],3)="HND",IF(COUNTIF(tblHandoffs[handoff_id],tblEventLog[[#This Row],[subject_id]])&gt;0,"found","event_only_record"),"unsupported_subject")))))))))))</f>
        <v/>
      </c>
      <c r="O32" s="14">
        <f>IF(tblEventLog[[#This Row],[event_id]]="","",IF(AND(LEFT(TRIM(tblEventLog[[#This Row],[payload]]),1)="{",RIGHT(TRIM(tblEventLog[[#This Row],[payload]]),1)="}"),"object_text","not_json_object"))</f>
        <v/>
      </c>
      <c r="P32" s="14">
        <f>IF(tblEventLog[[#This Row],[event_id]]="","",IF(tblEventLog[[#This Row],[event_type]]&lt;&gt;"request.status_changed","not_applicable",IF(COUNTIFS(tblLookupEntries[lookup_type],"request_transition",tblLookupEntries[key],IFERROR(MID(tblEventLog[[#This Row],[payload]],FIND("""from_status"": """,tblEventLog[[#This Row],[payload]])+16,FIND("""",tblEventLog[[#This Row],[payload]],FIND("""from_status"": """,tblEventLog[[#This Row],[payload]])+16)-FIND("""from_status"": """,tblEventLog[[#This Row],[payload]])-16),"")&amp;"&gt;"&amp;IFERROR(MID(tblEventLog[[#This Row],[payload]],FIND("""to_status"": """,tblEventLog[[#This Row],[payload]])+14,FIND("""",tblEventLog[[#This Row],[payload]],FIND("""to_status"": """,tblEventLog[[#This Row],[payload]])+14)-FIND("""to_status"": """,tblEventLog[[#This Row],[payload]])-14),""))&gt;0,"legal","illegal")))</f>
        <v/>
      </c>
    </row>
    <row r="33">
      <c r="A33" s="7" t="inlineStr">
        <is>
          <t>EVT-000029</t>
        </is>
      </c>
      <c r="B33" s="7" t="inlineStr">
        <is>
          <t>gate.assessed</t>
        </is>
      </c>
      <c r="C33" s="6" t="inlineStr">
        <is>
          <t>2026-09-30T14:30:00Z</t>
        </is>
      </c>
      <c r="D33" s="7" t="inlineStr">
        <is>
          <t>PER-000003</t>
        </is>
      </c>
      <c r="E33" s="7" t="inlineStr">
        <is>
          <t>human</t>
        </is>
      </c>
      <c r="F33" s="7" t="inlineStr">
        <is>
          <t>gate_assessment</t>
        </is>
      </c>
      <c r="G33" s="7" t="inlineStr">
        <is>
          <t>GAT-000004</t>
        </is>
      </c>
      <c r="H33" s="6" t="inlineStr">
        <is>
          <t>{"project_id": "PRJ-000003", "phase_key": "enable", "outcome": "pass", "assessor_id": "PER-000003"}</t>
        </is>
      </c>
      <c r="I33" s="7" t="inlineStr">
        <is>
          <t>implementation-operating-system</t>
        </is>
      </c>
      <c r="J33" s="6" t="inlineStr">
        <is>
          <t>1.0.0</t>
        </is>
      </c>
      <c r="K33" s="14">
        <f>IF(tblEventLog[[#This Row],[event_id]]="","",IF(COUNTIFS(tblLookupEntries[lookup_type],"event_type",tblLookupEntries[key],tblEventLog[[#This Row],[event_type]])=0,"not_registered_for_v0_1",IF(COUNTIFS(tblLookupEntries[lookup_type],"event_type",tblLookupEntries[key],tblEventLog[[#This Row],[event_type]],tblLookupEntries[display_value],tblEventLog[[#This Row],[subject_type]])=0,"subject_type_mismatch","registered")))</f>
        <v/>
      </c>
      <c r="L33" s="14">
        <f>IF(tblEventLog[[#This Row],[event_id]]="","",IF(tblEventLog[[#This Row],[source_repo]]="implementation-operating-system","catalog_producer","wrong_source_repo"))</f>
        <v/>
      </c>
      <c r="M33" s="14">
        <f>IF(tblEventLog[[#This Row],[event_id]]="","",IF(tblEventLog[[#This Row],[actor_type]]="human",IF(LEFT(tblEventLog[[#This Row],[actor_id]],4)="PER-","valid","human_actor_not_person"),IF(tblEventLog[[#This Row],[actor_type]]="system",IF(COUNTIFS(tblLookupEntries[lookup_type],"rule_id",tblLookupEntries[key],tblEventLog[[#This Row],[actor_id]])&gt;0,"valid","unknown_system_actor"),IF(tblEventLog[[#This Row],[actor_type]]="ai_agent","ai_actor_not_used_in_v0_1","invalid_actor_type"))))</f>
        <v/>
      </c>
      <c r="N33" s="14">
        <f>IF(tblEventLog[[#This Row],[event_id]]="","",IF(LEFT(tblEventLog[[#This Row],[subject_id]],3)="PRJ",IF(COUNTIF(tblProjects[project_id],tblEventLog[[#This Row],[subject_id]])&gt;0,"found","missing"),IF(LEFT(tblEventLog[[#This Row],[subject_id]],3)="PHS",IF(COUNTIF(tblPhases[phase_id],tblEventLog[[#This Row],[subject_id]])&gt;0,"found","missing"),IF(LEFT(tblEventLog[[#This Row],[subject_id]],3)="MLS",IF(COUNTIF(tblMilestones[milestone_id],tblEventLog[[#This Row],[subject_id]])&gt;0,"found","missing"),IF(LEFT(tblEventLog[[#This Row],[subject_id]],3)="TSK",IF(COUNTIF(tblTasks[task_id],tblEventLog[[#This Row],[subject_id]])&gt;0,"found","missing"),IF(LEFT(tblEventLog[[#This Row],[subject_id]],3)="REQ",IF(COUNTIF(tblRequests[request_id],tblEventLog[[#This Row],[subject_id]])&gt;0,"found","missing"),IF(LEFT(tblEventLog[[#This Row],[subject_id]],3)="RSK",IF(COUNTIF(tblRisks[risk_id],tblEventLog[[#This Row],[subject_id]])&gt;0,"found","missing"),IF(LEFT(tblEventLog[[#This Row],[subject_id]],3)="ISS",IF(COUNTIF(tblIssues[issue_id],tblEventLog[[#This Row],[subject_id]])&gt;0,"found","missing"),IF(LEFT(tblEventLog[[#This Row],[subject_id]],3)="RDS",IF(COUNTIF(tblReadinessSummary[readiness_scorecard_id],tblEventLog[[#This Row],[subject_id]])&gt;0,"found","missing"),IF(LEFT(tblEventLog[[#This Row],[subject_id]],3)="GAT",IF(COUNTIF(tblGateAssessments[gate_assessment_id],tblEventLog[[#This Row],[subject_id]])&gt;0,"found","event_only_record"),IF(LEFT(tblEventLog[[#This Row],[subject_id]],3)="HND",IF(COUNTIF(tblHandoffs[handoff_id],tblEventLog[[#This Row],[subject_id]])&gt;0,"found","event_only_record"),"unsupported_subject")))))))))))</f>
        <v/>
      </c>
      <c r="O33" s="14">
        <f>IF(tblEventLog[[#This Row],[event_id]]="","",IF(AND(LEFT(TRIM(tblEventLog[[#This Row],[payload]]),1)="{",RIGHT(TRIM(tblEventLog[[#This Row],[payload]]),1)="}"),"object_text","not_json_object"))</f>
        <v/>
      </c>
      <c r="P33" s="14">
        <f>IF(tblEventLog[[#This Row],[event_id]]="","",IF(tblEventLog[[#This Row],[event_type]]&lt;&gt;"request.status_changed","not_applicable",IF(COUNTIFS(tblLookupEntries[lookup_type],"request_transition",tblLookupEntries[key],IFERROR(MID(tblEventLog[[#This Row],[payload]],FIND("""from_status"": """,tblEventLog[[#This Row],[payload]])+16,FIND("""",tblEventLog[[#This Row],[payload]],FIND("""from_status"": """,tblEventLog[[#This Row],[payload]])+16)-FIND("""from_status"": """,tblEventLog[[#This Row],[payload]])-16),"")&amp;"&gt;"&amp;IFERROR(MID(tblEventLog[[#This Row],[payload]],FIND("""to_status"": """,tblEventLog[[#This Row],[payload]])+14,FIND("""",tblEventLog[[#This Row],[payload]],FIND("""to_status"": """,tblEventLog[[#This Row],[payload]])+14)-FIND("""to_status"": """,tblEventLog[[#This Row],[payload]])-14),""))&gt;0,"legal","illegal")))</f>
        <v/>
      </c>
    </row>
    <row r="34">
      <c r="A34" s="7" t="inlineStr">
        <is>
          <t>EVT-000030</t>
        </is>
      </c>
      <c r="B34" s="7" t="inlineStr">
        <is>
          <t>phase.exited</t>
        </is>
      </c>
      <c r="C34" s="6" t="inlineStr">
        <is>
          <t>2026-09-30T15:00:00Z</t>
        </is>
      </c>
      <c r="D34" s="7" t="inlineStr">
        <is>
          <t>PER-000003</t>
        </is>
      </c>
      <c r="E34" s="7" t="inlineStr">
        <is>
          <t>human</t>
        </is>
      </c>
      <c r="F34" s="7" t="inlineStr">
        <is>
          <t>phase</t>
        </is>
      </c>
      <c r="G34" s="7" t="inlineStr">
        <is>
          <t>PHS-000014</t>
        </is>
      </c>
      <c r="H34" s="6" t="inlineStr">
        <is>
          <t>{"project_id": "PRJ-000003", "phase_key": "enable", "gate_assessment_id": "GAT-000004"}</t>
        </is>
      </c>
      <c r="I34" s="7" t="inlineStr">
        <is>
          <t>implementation-operating-system</t>
        </is>
      </c>
      <c r="J34" s="6" t="inlineStr">
        <is>
          <t>1.0.0</t>
        </is>
      </c>
      <c r="K34" s="14">
        <f>IF(tblEventLog[[#This Row],[event_id]]="","",IF(COUNTIFS(tblLookupEntries[lookup_type],"event_type",tblLookupEntries[key],tblEventLog[[#This Row],[event_type]])=0,"not_registered_for_v0_1",IF(COUNTIFS(tblLookupEntries[lookup_type],"event_type",tblLookupEntries[key],tblEventLog[[#This Row],[event_type]],tblLookupEntries[display_value],tblEventLog[[#This Row],[subject_type]])=0,"subject_type_mismatch","registered")))</f>
        <v/>
      </c>
      <c r="L34" s="14">
        <f>IF(tblEventLog[[#This Row],[event_id]]="","",IF(tblEventLog[[#This Row],[source_repo]]="implementation-operating-system","catalog_producer","wrong_source_repo"))</f>
        <v/>
      </c>
      <c r="M34" s="14">
        <f>IF(tblEventLog[[#This Row],[event_id]]="","",IF(tblEventLog[[#This Row],[actor_type]]="human",IF(LEFT(tblEventLog[[#This Row],[actor_id]],4)="PER-","valid","human_actor_not_person"),IF(tblEventLog[[#This Row],[actor_type]]="system",IF(COUNTIFS(tblLookupEntries[lookup_type],"rule_id",tblLookupEntries[key],tblEventLog[[#This Row],[actor_id]])&gt;0,"valid","unknown_system_actor"),IF(tblEventLog[[#This Row],[actor_type]]="ai_agent","ai_actor_not_used_in_v0_1","invalid_actor_type"))))</f>
        <v/>
      </c>
      <c r="N34" s="14">
        <f>IF(tblEventLog[[#This Row],[event_id]]="","",IF(LEFT(tblEventLog[[#This Row],[subject_id]],3)="PRJ",IF(COUNTIF(tblProjects[project_id],tblEventLog[[#This Row],[subject_id]])&gt;0,"found","missing"),IF(LEFT(tblEventLog[[#This Row],[subject_id]],3)="PHS",IF(COUNTIF(tblPhases[phase_id],tblEventLog[[#This Row],[subject_id]])&gt;0,"found","missing"),IF(LEFT(tblEventLog[[#This Row],[subject_id]],3)="MLS",IF(COUNTIF(tblMilestones[milestone_id],tblEventLog[[#This Row],[subject_id]])&gt;0,"found","missing"),IF(LEFT(tblEventLog[[#This Row],[subject_id]],3)="TSK",IF(COUNTIF(tblTasks[task_id],tblEventLog[[#This Row],[subject_id]])&gt;0,"found","missing"),IF(LEFT(tblEventLog[[#This Row],[subject_id]],3)="REQ",IF(COUNTIF(tblRequests[request_id],tblEventLog[[#This Row],[subject_id]])&gt;0,"found","missing"),IF(LEFT(tblEventLog[[#This Row],[subject_id]],3)="RSK",IF(COUNTIF(tblRisks[risk_id],tblEventLog[[#This Row],[subject_id]])&gt;0,"found","missing"),IF(LEFT(tblEventLog[[#This Row],[subject_id]],3)="ISS",IF(COUNTIF(tblIssues[issue_id],tblEventLog[[#This Row],[subject_id]])&gt;0,"found","missing"),IF(LEFT(tblEventLog[[#This Row],[subject_id]],3)="RDS",IF(COUNTIF(tblReadinessSummary[readiness_scorecard_id],tblEventLog[[#This Row],[subject_id]])&gt;0,"found","missing"),IF(LEFT(tblEventLog[[#This Row],[subject_id]],3)="GAT",IF(COUNTIF(tblGateAssessments[gate_assessment_id],tblEventLog[[#This Row],[subject_id]])&gt;0,"found","event_only_record"),IF(LEFT(tblEventLog[[#This Row],[subject_id]],3)="HND",IF(COUNTIF(tblHandoffs[handoff_id],tblEventLog[[#This Row],[subject_id]])&gt;0,"found","event_only_record"),"unsupported_subject")))))))))))</f>
        <v/>
      </c>
      <c r="O34" s="14">
        <f>IF(tblEventLog[[#This Row],[event_id]]="","",IF(AND(LEFT(TRIM(tblEventLog[[#This Row],[payload]]),1)="{",RIGHT(TRIM(tblEventLog[[#This Row],[payload]]),1)="}"),"object_text","not_json_object"))</f>
        <v/>
      </c>
      <c r="P34" s="14">
        <f>IF(tblEventLog[[#This Row],[event_id]]="","",IF(tblEventLog[[#This Row],[event_type]]&lt;&gt;"request.status_changed","not_applicable",IF(COUNTIFS(tblLookupEntries[lookup_type],"request_transition",tblLookupEntries[key],IFERROR(MID(tblEventLog[[#This Row],[payload]],FIND("""from_status"": """,tblEventLog[[#This Row],[payload]])+16,FIND("""",tblEventLog[[#This Row],[payload]],FIND("""from_status"": """,tblEventLog[[#This Row],[payload]])+16)-FIND("""from_status"": """,tblEventLog[[#This Row],[payload]])-16),"")&amp;"&gt;"&amp;IFERROR(MID(tblEventLog[[#This Row],[payload]],FIND("""to_status"": """,tblEventLog[[#This Row],[payload]])+14,FIND("""",tblEventLog[[#This Row],[payload]],FIND("""to_status"": """,tblEventLog[[#This Row],[payload]])+14)-FIND("""to_status"": """,tblEventLog[[#This Row],[payload]])-14),""))&gt;0,"legal","illegal")))</f>
        <v/>
      </c>
    </row>
    <row r="35">
      <c r="A35" s="7" t="inlineStr">
        <is>
          <t>EVT-000031</t>
        </is>
      </c>
      <c r="B35" s="7" t="inlineStr">
        <is>
          <t>phase.entered</t>
        </is>
      </c>
      <c r="C35" s="6" t="inlineStr">
        <is>
          <t>2026-09-30T15:05:00Z</t>
        </is>
      </c>
      <c r="D35" s="7" t="inlineStr">
        <is>
          <t>PER-000003</t>
        </is>
      </c>
      <c r="E35" s="7" t="inlineStr">
        <is>
          <t>human</t>
        </is>
      </c>
      <c r="F35" s="7" t="inlineStr">
        <is>
          <t>phase</t>
        </is>
      </c>
      <c r="G35" s="7" t="inlineStr">
        <is>
          <t>PHS-000015</t>
        </is>
      </c>
      <c r="H35" s="6" t="inlineStr">
        <is>
          <t>{"project_id": "PRJ-000003", "phase_key": "launch"}</t>
        </is>
      </c>
      <c r="I35" s="7" t="inlineStr">
        <is>
          <t>implementation-operating-system</t>
        </is>
      </c>
      <c r="J35" s="6" t="inlineStr">
        <is>
          <t>1.0.0</t>
        </is>
      </c>
      <c r="K35" s="14">
        <f>IF(tblEventLog[[#This Row],[event_id]]="","",IF(COUNTIFS(tblLookupEntries[lookup_type],"event_type",tblLookupEntries[key],tblEventLog[[#This Row],[event_type]])=0,"not_registered_for_v0_1",IF(COUNTIFS(tblLookupEntries[lookup_type],"event_type",tblLookupEntries[key],tblEventLog[[#This Row],[event_type]],tblLookupEntries[display_value],tblEventLog[[#This Row],[subject_type]])=0,"subject_type_mismatch","registered")))</f>
        <v/>
      </c>
      <c r="L35" s="14">
        <f>IF(tblEventLog[[#This Row],[event_id]]="","",IF(tblEventLog[[#This Row],[source_repo]]="implementation-operating-system","catalog_producer","wrong_source_repo"))</f>
        <v/>
      </c>
      <c r="M35" s="14">
        <f>IF(tblEventLog[[#This Row],[event_id]]="","",IF(tblEventLog[[#This Row],[actor_type]]="human",IF(LEFT(tblEventLog[[#This Row],[actor_id]],4)="PER-","valid","human_actor_not_person"),IF(tblEventLog[[#This Row],[actor_type]]="system",IF(COUNTIFS(tblLookupEntries[lookup_type],"rule_id",tblLookupEntries[key],tblEventLog[[#This Row],[actor_id]])&gt;0,"valid","unknown_system_actor"),IF(tblEventLog[[#This Row],[actor_type]]="ai_agent","ai_actor_not_used_in_v0_1","invalid_actor_type"))))</f>
        <v/>
      </c>
      <c r="N35" s="14">
        <f>IF(tblEventLog[[#This Row],[event_id]]="","",IF(LEFT(tblEventLog[[#This Row],[subject_id]],3)="PRJ",IF(COUNTIF(tblProjects[project_id],tblEventLog[[#This Row],[subject_id]])&gt;0,"found","missing"),IF(LEFT(tblEventLog[[#This Row],[subject_id]],3)="PHS",IF(COUNTIF(tblPhases[phase_id],tblEventLog[[#This Row],[subject_id]])&gt;0,"found","missing"),IF(LEFT(tblEventLog[[#This Row],[subject_id]],3)="MLS",IF(COUNTIF(tblMilestones[milestone_id],tblEventLog[[#This Row],[subject_id]])&gt;0,"found","missing"),IF(LEFT(tblEventLog[[#This Row],[subject_id]],3)="TSK",IF(COUNTIF(tblTasks[task_id],tblEventLog[[#This Row],[subject_id]])&gt;0,"found","missing"),IF(LEFT(tblEventLog[[#This Row],[subject_id]],3)="REQ",IF(COUNTIF(tblRequests[request_id],tblEventLog[[#This Row],[subject_id]])&gt;0,"found","missing"),IF(LEFT(tblEventLog[[#This Row],[subject_id]],3)="RSK",IF(COUNTIF(tblRisks[risk_id],tblEventLog[[#This Row],[subject_id]])&gt;0,"found","missing"),IF(LEFT(tblEventLog[[#This Row],[subject_id]],3)="ISS",IF(COUNTIF(tblIssues[issue_id],tblEventLog[[#This Row],[subject_id]])&gt;0,"found","missing"),IF(LEFT(tblEventLog[[#This Row],[subject_id]],3)="RDS",IF(COUNTIF(tblReadinessSummary[readiness_scorecard_id],tblEventLog[[#This Row],[subject_id]])&gt;0,"found","missing"),IF(LEFT(tblEventLog[[#This Row],[subject_id]],3)="GAT",IF(COUNTIF(tblGateAssessments[gate_assessment_id],tblEventLog[[#This Row],[subject_id]])&gt;0,"found","event_only_record"),IF(LEFT(tblEventLog[[#This Row],[subject_id]],3)="HND",IF(COUNTIF(tblHandoffs[handoff_id],tblEventLog[[#This Row],[subject_id]])&gt;0,"found","event_only_record"),"unsupported_subject")))))))))))</f>
        <v/>
      </c>
      <c r="O35" s="14">
        <f>IF(tblEventLog[[#This Row],[event_id]]="","",IF(AND(LEFT(TRIM(tblEventLog[[#This Row],[payload]]),1)="{",RIGHT(TRIM(tblEventLog[[#This Row],[payload]]),1)="}"),"object_text","not_json_object"))</f>
        <v/>
      </c>
      <c r="P35" s="14">
        <f>IF(tblEventLog[[#This Row],[event_id]]="","",IF(tblEventLog[[#This Row],[event_type]]&lt;&gt;"request.status_changed","not_applicable",IF(COUNTIFS(tblLookupEntries[lookup_type],"request_transition",tblLookupEntries[key],IFERROR(MID(tblEventLog[[#This Row],[payload]],FIND("""from_status"": """,tblEventLog[[#This Row],[payload]])+16,FIND("""",tblEventLog[[#This Row],[payload]],FIND("""from_status"": """,tblEventLog[[#This Row],[payload]])+16)-FIND("""from_status"": """,tblEventLog[[#This Row],[payload]])-16),"")&amp;"&gt;"&amp;IFERROR(MID(tblEventLog[[#This Row],[payload]],FIND("""to_status"": """,tblEventLog[[#This Row],[payload]])+14,FIND("""",tblEventLog[[#This Row],[payload]],FIND("""to_status"": """,tblEventLog[[#This Row],[payload]])+14)-FIND("""to_status"": """,tblEventLog[[#This Row],[payload]])-14),""))&gt;0,"legal","illegal")))</f>
        <v/>
      </c>
    </row>
    <row r="36">
      <c r="A36" s="7" t="inlineStr">
        <is>
          <t>EVT-000032</t>
        </is>
      </c>
      <c r="B36" s="7" t="inlineStr">
        <is>
          <t>readiness.scored</t>
        </is>
      </c>
      <c r="C36" s="6" t="inlineStr">
        <is>
          <t>2026-10-01T15:00:00Z</t>
        </is>
      </c>
      <c r="D36" s="7" t="inlineStr">
        <is>
          <t>RUL-000301</t>
        </is>
      </c>
      <c r="E36" s="7" t="inlineStr">
        <is>
          <t>system</t>
        </is>
      </c>
      <c r="F36" s="7" t="inlineStr">
        <is>
          <t>readiness_scorecard</t>
        </is>
      </c>
      <c r="G36" s="7" t="inlineStr">
        <is>
          <t>RDS-000001</t>
        </is>
      </c>
      <c r="H36" s="6" t="inlineStr">
        <is>
          <t>{"project_id": "PRJ-000001", "readiness_score": 16.25, "category_scores": {"people": 7.5, "process": 3.75, "technology": 0.0, "data": 5.0, "training": 0.0, "support": 0.0}}</t>
        </is>
      </c>
      <c r="I36" s="7" t="inlineStr">
        <is>
          <t>implementation-operating-system</t>
        </is>
      </c>
      <c r="J36" s="6" t="inlineStr">
        <is>
          <t>1.0.0</t>
        </is>
      </c>
      <c r="K36" s="14">
        <f>IF(tblEventLog[[#This Row],[event_id]]="","",IF(COUNTIFS(tblLookupEntries[lookup_type],"event_type",tblLookupEntries[key],tblEventLog[[#This Row],[event_type]])=0,"not_registered_for_v0_1",IF(COUNTIFS(tblLookupEntries[lookup_type],"event_type",tblLookupEntries[key],tblEventLog[[#This Row],[event_type]],tblLookupEntries[display_value],tblEventLog[[#This Row],[subject_type]])=0,"subject_type_mismatch","registered")))</f>
        <v/>
      </c>
      <c r="L36" s="14">
        <f>IF(tblEventLog[[#This Row],[event_id]]="","",IF(tblEventLog[[#This Row],[source_repo]]="implementation-operating-system","catalog_producer","wrong_source_repo"))</f>
        <v/>
      </c>
      <c r="M36" s="14">
        <f>IF(tblEventLog[[#This Row],[event_id]]="","",IF(tblEventLog[[#This Row],[actor_type]]="human",IF(LEFT(tblEventLog[[#This Row],[actor_id]],4)="PER-","valid","human_actor_not_person"),IF(tblEventLog[[#This Row],[actor_type]]="system",IF(COUNTIFS(tblLookupEntries[lookup_type],"rule_id",tblLookupEntries[key],tblEventLog[[#This Row],[actor_id]])&gt;0,"valid","unknown_system_actor"),IF(tblEventLog[[#This Row],[actor_type]]="ai_agent","ai_actor_not_used_in_v0_1","invalid_actor_type"))))</f>
        <v/>
      </c>
      <c r="N36" s="14">
        <f>IF(tblEventLog[[#This Row],[event_id]]="","",IF(LEFT(tblEventLog[[#This Row],[subject_id]],3)="PRJ",IF(COUNTIF(tblProjects[project_id],tblEventLog[[#This Row],[subject_id]])&gt;0,"found","missing"),IF(LEFT(tblEventLog[[#This Row],[subject_id]],3)="PHS",IF(COUNTIF(tblPhases[phase_id],tblEventLog[[#This Row],[subject_id]])&gt;0,"found","missing"),IF(LEFT(tblEventLog[[#This Row],[subject_id]],3)="MLS",IF(COUNTIF(tblMilestones[milestone_id],tblEventLog[[#This Row],[subject_id]])&gt;0,"found","missing"),IF(LEFT(tblEventLog[[#This Row],[subject_id]],3)="TSK",IF(COUNTIF(tblTasks[task_id],tblEventLog[[#This Row],[subject_id]])&gt;0,"found","missing"),IF(LEFT(tblEventLog[[#This Row],[subject_id]],3)="REQ",IF(COUNTIF(tblRequests[request_id],tblEventLog[[#This Row],[subject_id]])&gt;0,"found","missing"),IF(LEFT(tblEventLog[[#This Row],[subject_id]],3)="RSK",IF(COUNTIF(tblRisks[risk_id],tblEventLog[[#This Row],[subject_id]])&gt;0,"found","missing"),IF(LEFT(tblEventLog[[#This Row],[subject_id]],3)="ISS",IF(COUNTIF(tblIssues[issue_id],tblEventLog[[#This Row],[subject_id]])&gt;0,"found","missing"),IF(LEFT(tblEventLog[[#This Row],[subject_id]],3)="RDS",IF(COUNTIF(tblReadinessSummary[readiness_scorecard_id],tblEventLog[[#This Row],[subject_id]])&gt;0,"found","missing"),IF(LEFT(tblEventLog[[#This Row],[subject_id]],3)="GAT",IF(COUNTIF(tblGateAssessments[gate_assessment_id],tblEventLog[[#This Row],[subject_id]])&gt;0,"found","event_only_record"),IF(LEFT(tblEventLog[[#This Row],[subject_id]],3)="HND",IF(COUNTIF(tblHandoffs[handoff_id],tblEventLog[[#This Row],[subject_id]])&gt;0,"found","event_only_record"),"unsupported_subject")))))))))))</f>
        <v/>
      </c>
      <c r="O36" s="14">
        <f>IF(tblEventLog[[#This Row],[event_id]]="","",IF(AND(LEFT(TRIM(tblEventLog[[#This Row],[payload]]),1)="{",RIGHT(TRIM(tblEventLog[[#This Row],[payload]]),1)="}"),"object_text","not_json_object"))</f>
        <v/>
      </c>
      <c r="P36" s="14">
        <f>IF(tblEventLog[[#This Row],[event_id]]="","",IF(tblEventLog[[#This Row],[event_type]]&lt;&gt;"request.status_changed","not_applicable",IF(COUNTIFS(tblLookupEntries[lookup_type],"request_transition",tblLookupEntries[key],IFERROR(MID(tblEventLog[[#This Row],[payload]],FIND("""from_status"": """,tblEventLog[[#This Row],[payload]])+16,FIND("""",tblEventLog[[#This Row],[payload]],FIND("""from_status"": """,tblEventLog[[#This Row],[payload]])+16)-FIND("""from_status"": """,tblEventLog[[#This Row],[payload]])-16),"")&amp;"&gt;"&amp;IFERROR(MID(tblEventLog[[#This Row],[payload]],FIND("""to_status"": """,tblEventLog[[#This Row],[payload]])+14,FIND("""",tblEventLog[[#This Row],[payload]],FIND("""to_status"": """,tblEventLog[[#This Row],[payload]])+14)-FIND("""to_status"": """,tblEventLog[[#This Row],[payload]])-14),""))&gt;0,"legal","illegal")))</f>
        <v/>
      </c>
    </row>
    <row r="37">
      <c r="A37" s="7" t="inlineStr">
        <is>
          <t>EVT-000033</t>
        </is>
      </c>
      <c r="B37" s="7" t="inlineStr">
        <is>
          <t>readiness.scored</t>
        </is>
      </c>
      <c r="C37" s="6" t="inlineStr">
        <is>
          <t>2026-10-01T16:00:00Z</t>
        </is>
      </c>
      <c r="D37" s="7" t="inlineStr">
        <is>
          <t>RUL-000301</t>
        </is>
      </c>
      <c r="E37" s="7" t="inlineStr">
        <is>
          <t>system</t>
        </is>
      </c>
      <c r="F37" s="7" t="inlineStr">
        <is>
          <t>readiness_scorecard</t>
        </is>
      </c>
      <c r="G37" s="7" t="inlineStr">
        <is>
          <t>RDS-000002</t>
        </is>
      </c>
      <c r="H37" s="6" t="inlineStr">
        <is>
          <t>{"project_id": "PRJ-000002", "readiness_score": 37.5, "category_scores": {"people": 11.25, "process": 11.25, "technology": 10.0, "data": 5.0, "training": 0.0, "support": 0.0}}</t>
        </is>
      </c>
      <c r="I37" s="7" t="inlineStr">
        <is>
          <t>implementation-operating-system</t>
        </is>
      </c>
      <c r="J37" s="6" t="inlineStr">
        <is>
          <t>1.0.0</t>
        </is>
      </c>
      <c r="K37" s="14">
        <f>IF(tblEventLog[[#This Row],[event_id]]="","",IF(COUNTIFS(tblLookupEntries[lookup_type],"event_type",tblLookupEntries[key],tblEventLog[[#This Row],[event_type]])=0,"not_registered_for_v0_1",IF(COUNTIFS(tblLookupEntries[lookup_type],"event_type",tblLookupEntries[key],tblEventLog[[#This Row],[event_type]],tblLookupEntries[display_value],tblEventLog[[#This Row],[subject_type]])=0,"subject_type_mismatch","registered")))</f>
        <v/>
      </c>
      <c r="L37" s="14">
        <f>IF(tblEventLog[[#This Row],[event_id]]="","",IF(tblEventLog[[#This Row],[source_repo]]="implementation-operating-system","catalog_producer","wrong_source_repo"))</f>
        <v/>
      </c>
      <c r="M37" s="14">
        <f>IF(tblEventLog[[#This Row],[event_id]]="","",IF(tblEventLog[[#This Row],[actor_type]]="human",IF(LEFT(tblEventLog[[#This Row],[actor_id]],4)="PER-","valid","human_actor_not_person"),IF(tblEventLog[[#This Row],[actor_type]]="system",IF(COUNTIFS(tblLookupEntries[lookup_type],"rule_id",tblLookupEntries[key],tblEventLog[[#This Row],[actor_id]])&gt;0,"valid","unknown_system_actor"),IF(tblEventLog[[#This Row],[actor_type]]="ai_agent","ai_actor_not_used_in_v0_1","invalid_actor_type"))))</f>
        <v/>
      </c>
      <c r="N37" s="14">
        <f>IF(tblEventLog[[#This Row],[event_id]]="","",IF(LEFT(tblEventLog[[#This Row],[subject_id]],3)="PRJ",IF(COUNTIF(tblProjects[project_id],tblEventLog[[#This Row],[subject_id]])&gt;0,"found","missing"),IF(LEFT(tblEventLog[[#This Row],[subject_id]],3)="PHS",IF(COUNTIF(tblPhases[phase_id],tblEventLog[[#This Row],[subject_id]])&gt;0,"found","missing"),IF(LEFT(tblEventLog[[#This Row],[subject_id]],3)="MLS",IF(COUNTIF(tblMilestones[milestone_id],tblEventLog[[#This Row],[subject_id]])&gt;0,"found","missing"),IF(LEFT(tblEventLog[[#This Row],[subject_id]],3)="TSK",IF(COUNTIF(tblTasks[task_id],tblEventLog[[#This Row],[subject_id]])&gt;0,"found","missing"),IF(LEFT(tblEventLog[[#This Row],[subject_id]],3)="REQ",IF(COUNTIF(tblRequests[request_id],tblEventLog[[#This Row],[subject_id]])&gt;0,"found","missing"),IF(LEFT(tblEventLog[[#This Row],[subject_id]],3)="RSK",IF(COUNTIF(tblRisks[risk_id],tblEventLog[[#This Row],[subject_id]])&gt;0,"found","missing"),IF(LEFT(tblEventLog[[#This Row],[subject_id]],3)="ISS",IF(COUNTIF(tblIssues[issue_id],tblEventLog[[#This Row],[subject_id]])&gt;0,"found","missing"),IF(LEFT(tblEventLog[[#This Row],[subject_id]],3)="RDS",IF(COUNTIF(tblReadinessSummary[readiness_scorecard_id],tblEventLog[[#This Row],[subject_id]])&gt;0,"found","missing"),IF(LEFT(tblEventLog[[#This Row],[subject_id]],3)="GAT",IF(COUNTIF(tblGateAssessments[gate_assessment_id],tblEventLog[[#This Row],[subject_id]])&gt;0,"found","event_only_record"),IF(LEFT(tblEventLog[[#This Row],[subject_id]],3)="HND",IF(COUNTIF(tblHandoffs[handoff_id],tblEventLog[[#This Row],[subject_id]])&gt;0,"found","event_only_record"),"unsupported_subject")))))))))))</f>
        <v/>
      </c>
      <c r="O37" s="14">
        <f>IF(tblEventLog[[#This Row],[event_id]]="","",IF(AND(LEFT(TRIM(tblEventLog[[#This Row],[payload]]),1)="{",RIGHT(TRIM(tblEventLog[[#This Row],[payload]]),1)="}"),"object_text","not_json_object"))</f>
        <v/>
      </c>
      <c r="P37" s="14">
        <f>IF(tblEventLog[[#This Row],[event_id]]="","",IF(tblEventLog[[#This Row],[event_type]]&lt;&gt;"request.status_changed","not_applicable",IF(COUNTIFS(tblLookupEntries[lookup_type],"request_transition",tblLookupEntries[key],IFERROR(MID(tblEventLog[[#This Row],[payload]],FIND("""from_status"": """,tblEventLog[[#This Row],[payload]])+16,FIND("""",tblEventLog[[#This Row],[payload]],FIND("""from_status"": """,tblEventLog[[#This Row],[payload]])+16)-FIND("""from_status"": """,tblEventLog[[#This Row],[payload]])-16),"")&amp;"&gt;"&amp;IFERROR(MID(tblEventLog[[#This Row],[payload]],FIND("""to_status"": """,tblEventLog[[#This Row],[payload]])+14,FIND("""",tblEventLog[[#This Row],[payload]],FIND("""to_status"": """,tblEventLog[[#This Row],[payload]])+14)-FIND("""to_status"": """,tblEventLog[[#This Row],[payload]])-14),""))&gt;0,"legal","illegal")))</f>
        <v/>
      </c>
    </row>
    <row r="38">
      <c r="A38" s="7" t="inlineStr">
        <is>
          <t>EVT-000034</t>
        </is>
      </c>
      <c r="B38" s="7" t="inlineStr">
        <is>
          <t>readiness.scored</t>
        </is>
      </c>
      <c r="C38" s="6" t="inlineStr">
        <is>
          <t>2026-10-02T15:00:00Z</t>
        </is>
      </c>
      <c r="D38" s="7" t="inlineStr">
        <is>
          <t>RUL-000301</t>
        </is>
      </c>
      <c r="E38" s="7" t="inlineStr">
        <is>
          <t>system</t>
        </is>
      </c>
      <c r="F38" s="7" t="inlineStr">
        <is>
          <t>readiness_scorecard</t>
        </is>
      </c>
      <c r="G38" s="7" t="inlineStr">
        <is>
          <t>RDS-000003</t>
        </is>
      </c>
      <c r="H38" s="6" t="inlineStr">
        <is>
          <t>{"project_id": "PRJ-000003", "readiness_score": 91.25, "category_scores": {"people": 15.0, "process": 15.0, "technology": 25.0, "data": 15.0, "training": 11.25, "support": 10.0}}</t>
        </is>
      </c>
      <c r="I38" s="7" t="inlineStr">
        <is>
          <t>implementation-operating-system</t>
        </is>
      </c>
      <c r="J38" s="6" t="inlineStr">
        <is>
          <t>1.0.0</t>
        </is>
      </c>
      <c r="K38" s="14">
        <f>IF(tblEventLog[[#This Row],[event_id]]="","",IF(COUNTIFS(tblLookupEntries[lookup_type],"event_type",tblLookupEntries[key],tblEventLog[[#This Row],[event_type]])=0,"not_registered_for_v0_1",IF(COUNTIFS(tblLookupEntries[lookup_type],"event_type",tblLookupEntries[key],tblEventLog[[#This Row],[event_type]],tblLookupEntries[display_value],tblEventLog[[#This Row],[subject_type]])=0,"subject_type_mismatch","registered")))</f>
        <v/>
      </c>
      <c r="L38" s="14">
        <f>IF(tblEventLog[[#This Row],[event_id]]="","",IF(tblEventLog[[#This Row],[source_repo]]="implementation-operating-system","catalog_producer","wrong_source_repo"))</f>
        <v/>
      </c>
      <c r="M38" s="14">
        <f>IF(tblEventLog[[#This Row],[event_id]]="","",IF(tblEventLog[[#This Row],[actor_type]]="human",IF(LEFT(tblEventLog[[#This Row],[actor_id]],4)="PER-","valid","human_actor_not_person"),IF(tblEventLog[[#This Row],[actor_type]]="system",IF(COUNTIFS(tblLookupEntries[lookup_type],"rule_id",tblLookupEntries[key],tblEventLog[[#This Row],[actor_id]])&gt;0,"valid","unknown_system_actor"),IF(tblEventLog[[#This Row],[actor_type]]="ai_agent","ai_actor_not_used_in_v0_1","invalid_actor_type"))))</f>
        <v/>
      </c>
      <c r="N38" s="14">
        <f>IF(tblEventLog[[#This Row],[event_id]]="","",IF(LEFT(tblEventLog[[#This Row],[subject_id]],3)="PRJ",IF(COUNTIF(tblProjects[project_id],tblEventLog[[#This Row],[subject_id]])&gt;0,"found","missing"),IF(LEFT(tblEventLog[[#This Row],[subject_id]],3)="PHS",IF(COUNTIF(tblPhases[phase_id],tblEventLog[[#This Row],[subject_id]])&gt;0,"found","missing"),IF(LEFT(tblEventLog[[#This Row],[subject_id]],3)="MLS",IF(COUNTIF(tblMilestones[milestone_id],tblEventLog[[#This Row],[subject_id]])&gt;0,"found","missing"),IF(LEFT(tblEventLog[[#This Row],[subject_id]],3)="TSK",IF(COUNTIF(tblTasks[task_id],tblEventLog[[#This Row],[subject_id]])&gt;0,"found","missing"),IF(LEFT(tblEventLog[[#This Row],[subject_id]],3)="REQ",IF(COUNTIF(tblRequests[request_id],tblEventLog[[#This Row],[subject_id]])&gt;0,"found","missing"),IF(LEFT(tblEventLog[[#This Row],[subject_id]],3)="RSK",IF(COUNTIF(tblRisks[risk_id],tblEventLog[[#This Row],[subject_id]])&gt;0,"found","missing"),IF(LEFT(tblEventLog[[#This Row],[subject_id]],3)="ISS",IF(COUNTIF(tblIssues[issue_id],tblEventLog[[#This Row],[subject_id]])&gt;0,"found","missing"),IF(LEFT(tblEventLog[[#This Row],[subject_id]],3)="RDS",IF(COUNTIF(tblReadinessSummary[readiness_scorecard_id],tblEventLog[[#This Row],[subject_id]])&gt;0,"found","missing"),IF(LEFT(tblEventLog[[#This Row],[subject_id]],3)="GAT",IF(COUNTIF(tblGateAssessments[gate_assessment_id],tblEventLog[[#This Row],[subject_id]])&gt;0,"found","event_only_record"),IF(LEFT(tblEventLog[[#This Row],[subject_id]],3)="HND",IF(COUNTIF(tblHandoffs[handoff_id],tblEventLog[[#This Row],[subject_id]])&gt;0,"found","event_only_record"),"unsupported_subject")))))))))))</f>
        <v/>
      </c>
      <c r="O38" s="14">
        <f>IF(tblEventLog[[#This Row],[event_id]]="","",IF(AND(LEFT(TRIM(tblEventLog[[#This Row],[payload]]),1)="{",RIGHT(TRIM(tblEventLog[[#This Row],[payload]]),1)="}"),"object_text","not_json_object"))</f>
        <v/>
      </c>
      <c r="P38" s="14">
        <f>IF(tblEventLog[[#This Row],[event_id]]="","",IF(tblEventLog[[#This Row],[event_type]]&lt;&gt;"request.status_changed","not_applicable",IF(COUNTIFS(tblLookupEntries[lookup_type],"request_transition",tblLookupEntries[key],IFERROR(MID(tblEventLog[[#This Row],[payload]],FIND("""from_status"": """,tblEventLog[[#This Row],[payload]])+16,FIND("""",tblEventLog[[#This Row],[payload]],FIND("""from_status"": """,tblEventLog[[#This Row],[payload]])+16)-FIND("""from_status"": """,tblEventLog[[#This Row],[payload]])-16),"")&amp;"&gt;"&amp;IFERROR(MID(tblEventLog[[#This Row],[payload]],FIND("""to_status"": """,tblEventLog[[#This Row],[payload]])+14,FIND("""",tblEventLog[[#This Row],[payload]],FIND("""to_status"": """,tblEventLog[[#This Row],[payload]])+14)-FIND("""to_status"": """,tblEventLog[[#This Row],[payload]])-14),""))&gt;0,"legal","illegal")))</f>
        <v/>
      </c>
    </row>
    <row r="39">
      <c r="A39" s="7" t="inlineStr">
        <is>
          <t>EVT-000035</t>
        </is>
      </c>
      <c r="B39" s="7" t="inlineStr">
        <is>
          <t>handoff.completed</t>
        </is>
      </c>
      <c r="C39" s="6" t="inlineStr">
        <is>
          <t>2026-10-02T17:00:00Z</t>
        </is>
      </c>
      <c r="D39" s="7" t="inlineStr">
        <is>
          <t>PER-000005</t>
        </is>
      </c>
      <c r="E39" s="7" t="inlineStr">
        <is>
          <t>human</t>
        </is>
      </c>
      <c r="F39" s="7" t="inlineStr">
        <is>
          <t>handoff</t>
        </is>
      </c>
      <c r="G39" s="7" t="inlineStr">
        <is>
          <t>HND-000002</t>
        </is>
      </c>
      <c r="H39" s="6" t="inlineStr">
        <is>
          <t>{"project_id": "PRJ-000003", "from_role_id": "ROL-000004", "to_role_id": "ROL-000006"}</t>
        </is>
      </c>
      <c r="I39" s="7" t="inlineStr">
        <is>
          <t>implementation-operating-system</t>
        </is>
      </c>
      <c r="J39" s="6" t="inlineStr">
        <is>
          <t>1.0.0</t>
        </is>
      </c>
      <c r="K39" s="14">
        <f>IF(tblEventLog[[#This Row],[event_id]]="","",IF(COUNTIFS(tblLookupEntries[lookup_type],"event_type",tblLookupEntries[key],tblEventLog[[#This Row],[event_type]])=0,"not_registered_for_v0_1",IF(COUNTIFS(tblLookupEntries[lookup_type],"event_type",tblLookupEntries[key],tblEventLog[[#This Row],[event_type]],tblLookupEntries[display_value],tblEventLog[[#This Row],[subject_type]])=0,"subject_type_mismatch","registered")))</f>
        <v/>
      </c>
      <c r="L39" s="14">
        <f>IF(tblEventLog[[#This Row],[event_id]]="","",IF(tblEventLog[[#This Row],[source_repo]]="implementation-operating-system","catalog_producer","wrong_source_repo"))</f>
        <v/>
      </c>
      <c r="M39" s="14">
        <f>IF(tblEventLog[[#This Row],[event_id]]="","",IF(tblEventLog[[#This Row],[actor_type]]="human",IF(LEFT(tblEventLog[[#This Row],[actor_id]],4)="PER-","valid","human_actor_not_person"),IF(tblEventLog[[#This Row],[actor_type]]="system",IF(COUNTIFS(tblLookupEntries[lookup_type],"rule_id",tblLookupEntries[key],tblEventLog[[#This Row],[actor_id]])&gt;0,"valid","unknown_system_actor"),IF(tblEventLog[[#This Row],[actor_type]]="ai_agent","ai_actor_not_used_in_v0_1","invalid_actor_type"))))</f>
        <v/>
      </c>
      <c r="N39" s="14">
        <f>IF(tblEventLog[[#This Row],[event_id]]="","",IF(LEFT(tblEventLog[[#This Row],[subject_id]],3)="PRJ",IF(COUNTIF(tblProjects[project_id],tblEventLog[[#This Row],[subject_id]])&gt;0,"found","missing"),IF(LEFT(tblEventLog[[#This Row],[subject_id]],3)="PHS",IF(COUNTIF(tblPhases[phase_id],tblEventLog[[#This Row],[subject_id]])&gt;0,"found","missing"),IF(LEFT(tblEventLog[[#This Row],[subject_id]],3)="MLS",IF(COUNTIF(tblMilestones[milestone_id],tblEventLog[[#This Row],[subject_id]])&gt;0,"found","missing"),IF(LEFT(tblEventLog[[#This Row],[subject_id]],3)="TSK",IF(COUNTIF(tblTasks[task_id],tblEventLog[[#This Row],[subject_id]])&gt;0,"found","missing"),IF(LEFT(tblEventLog[[#This Row],[subject_id]],3)="REQ",IF(COUNTIF(tblRequests[request_id],tblEventLog[[#This Row],[subject_id]])&gt;0,"found","missing"),IF(LEFT(tblEventLog[[#This Row],[subject_id]],3)="RSK",IF(COUNTIF(tblRisks[risk_id],tblEventLog[[#This Row],[subject_id]])&gt;0,"found","missing"),IF(LEFT(tblEventLog[[#This Row],[subject_id]],3)="ISS",IF(COUNTIF(tblIssues[issue_id],tblEventLog[[#This Row],[subject_id]])&gt;0,"found","missing"),IF(LEFT(tblEventLog[[#This Row],[subject_id]],3)="RDS",IF(COUNTIF(tblReadinessSummary[readiness_scorecard_id],tblEventLog[[#This Row],[subject_id]])&gt;0,"found","missing"),IF(LEFT(tblEventLog[[#This Row],[subject_id]],3)="GAT",IF(COUNTIF(tblGateAssessments[gate_assessment_id],tblEventLog[[#This Row],[subject_id]])&gt;0,"found","event_only_record"),IF(LEFT(tblEventLog[[#This Row],[subject_id]],3)="HND",IF(COUNTIF(tblHandoffs[handoff_id],tblEventLog[[#This Row],[subject_id]])&gt;0,"found","event_only_record"),"unsupported_subject")))))))))))</f>
        <v/>
      </c>
      <c r="O39" s="14">
        <f>IF(tblEventLog[[#This Row],[event_id]]="","",IF(AND(LEFT(TRIM(tblEventLog[[#This Row],[payload]]),1)="{",RIGHT(TRIM(tblEventLog[[#This Row],[payload]]),1)="}"),"object_text","not_json_object"))</f>
        <v/>
      </c>
      <c r="P39" s="14">
        <f>IF(tblEventLog[[#This Row],[event_id]]="","",IF(tblEventLog[[#This Row],[event_type]]&lt;&gt;"request.status_changed","not_applicable",IF(COUNTIFS(tblLookupEntries[lookup_type],"request_transition",tblLookupEntries[key],IFERROR(MID(tblEventLog[[#This Row],[payload]],FIND("""from_status"": """,tblEventLog[[#This Row],[payload]])+16,FIND("""",tblEventLog[[#This Row],[payload]],FIND("""from_status"": """,tblEventLog[[#This Row],[payload]])+16)-FIND("""from_status"": """,tblEventLog[[#This Row],[payload]])-16),"")&amp;"&gt;"&amp;IFERROR(MID(tblEventLog[[#This Row],[payload]],FIND("""to_status"": """,tblEventLog[[#This Row],[payload]])+14,FIND("""",tblEventLog[[#This Row],[payload]],FIND("""to_status"": """,tblEventLog[[#This Row],[payload]])+14)-FIND("""to_status"": """,tblEventLog[[#This Row],[payload]])-14),""))&gt;0,"legal","illegal")))</f>
        <v/>
      </c>
    </row>
    <row r="40">
      <c r="A40" s="7" t="inlineStr">
        <is>
          <t>EVT-000036</t>
        </is>
      </c>
      <c r="B40" s="7" t="inlineStr">
        <is>
          <t>request.status_changed</t>
        </is>
      </c>
      <c r="C40" s="6" t="inlineStr">
        <is>
          <t>2026-10-02T17:05:00Z</t>
        </is>
      </c>
      <c r="D40" s="7" t="inlineStr">
        <is>
          <t>PER-000005</t>
        </is>
      </c>
      <c r="E40" s="7" t="inlineStr">
        <is>
          <t>human</t>
        </is>
      </c>
      <c r="F40" s="7" t="inlineStr">
        <is>
          <t>request</t>
        </is>
      </c>
      <c r="G40" s="7" t="inlineStr">
        <is>
          <t>REQ-000006</t>
        </is>
      </c>
      <c r="H40" s="6" t="inlineStr">
        <is>
          <t>{"from_status": "ready_for_handoff", "to_status": "handed_off"}</t>
        </is>
      </c>
      <c r="I40" s="7" t="inlineStr">
        <is>
          <t>implementation-operating-system</t>
        </is>
      </c>
      <c r="J40" s="6" t="inlineStr">
        <is>
          <t>1.0.0</t>
        </is>
      </c>
      <c r="K40" s="14">
        <f>IF(tblEventLog[[#This Row],[event_id]]="","",IF(COUNTIFS(tblLookupEntries[lookup_type],"event_type",tblLookupEntries[key],tblEventLog[[#This Row],[event_type]])=0,"not_registered_for_v0_1",IF(COUNTIFS(tblLookupEntries[lookup_type],"event_type",tblLookupEntries[key],tblEventLog[[#This Row],[event_type]],tblLookupEntries[display_value],tblEventLog[[#This Row],[subject_type]])=0,"subject_type_mismatch","registered")))</f>
        <v/>
      </c>
      <c r="L40" s="14">
        <f>IF(tblEventLog[[#This Row],[event_id]]="","",IF(tblEventLog[[#This Row],[source_repo]]="implementation-operating-system","catalog_producer","wrong_source_repo"))</f>
        <v/>
      </c>
      <c r="M40" s="14">
        <f>IF(tblEventLog[[#This Row],[event_id]]="","",IF(tblEventLog[[#This Row],[actor_type]]="human",IF(LEFT(tblEventLog[[#This Row],[actor_id]],4)="PER-","valid","human_actor_not_person"),IF(tblEventLog[[#This Row],[actor_type]]="system",IF(COUNTIFS(tblLookupEntries[lookup_type],"rule_id",tblLookupEntries[key],tblEventLog[[#This Row],[actor_id]])&gt;0,"valid","unknown_system_actor"),IF(tblEventLog[[#This Row],[actor_type]]="ai_agent","ai_actor_not_used_in_v0_1","invalid_actor_type"))))</f>
        <v/>
      </c>
      <c r="N40" s="14">
        <f>IF(tblEventLog[[#This Row],[event_id]]="","",IF(LEFT(tblEventLog[[#This Row],[subject_id]],3)="PRJ",IF(COUNTIF(tblProjects[project_id],tblEventLog[[#This Row],[subject_id]])&gt;0,"found","missing"),IF(LEFT(tblEventLog[[#This Row],[subject_id]],3)="PHS",IF(COUNTIF(tblPhases[phase_id],tblEventLog[[#This Row],[subject_id]])&gt;0,"found","missing"),IF(LEFT(tblEventLog[[#This Row],[subject_id]],3)="MLS",IF(COUNTIF(tblMilestones[milestone_id],tblEventLog[[#This Row],[subject_id]])&gt;0,"found","missing"),IF(LEFT(tblEventLog[[#This Row],[subject_id]],3)="TSK",IF(COUNTIF(tblTasks[task_id],tblEventLog[[#This Row],[subject_id]])&gt;0,"found","missing"),IF(LEFT(tblEventLog[[#This Row],[subject_id]],3)="REQ",IF(COUNTIF(tblRequests[request_id],tblEventLog[[#This Row],[subject_id]])&gt;0,"found","missing"),IF(LEFT(tblEventLog[[#This Row],[subject_id]],3)="RSK",IF(COUNTIF(tblRisks[risk_id],tblEventLog[[#This Row],[subject_id]])&gt;0,"found","missing"),IF(LEFT(tblEventLog[[#This Row],[subject_id]],3)="ISS",IF(COUNTIF(tblIssues[issue_id],tblEventLog[[#This Row],[subject_id]])&gt;0,"found","missing"),IF(LEFT(tblEventLog[[#This Row],[subject_id]],3)="RDS",IF(COUNTIF(tblReadinessSummary[readiness_scorecard_id],tblEventLog[[#This Row],[subject_id]])&gt;0,"found","missing"),IF(LEFT(tblEventLog[[#This Row],[subject_id]],3)="GAT",IF(COUNTIF(tblGateAssessments[gate_assessment_id],tblEventLog[[#This Row],[subject_id]])&gt;0,"found","event_only_record"),IF(LEFT(tblEventLog[[#This Row],[subject_id]],3)="HND",IF(COUNTIF(tblHandoffs[handoff_id],tblEventLog[[#This Row],[subject_id]])&gt;0,"found","event_only_record"),"unsupported_subject")))))))))))</f>
        <v/>
      </c>
      <c r="O40" s="14">
        <f>IF(tblEventLog[[#This Row],[event_id]]="","",IF(AND(LEFT(TRIM(tblEventLog[[#This Row],[payload]]),1)="{",RIGHT(TRIM(tblEventLog[[#This Row],[payload]]),1)="}"),"object_text","not_json_object"))</f>
        <v/>
      </c>
      <c r="P40" s="14">
        <f>IF(tblEventLog[[#This Row],[event_id]]="","",IF(tblEventLog[[#This Row],[event_type]]&lt;&gt;"request.status_changed","not_applicable",IF(COUNTIFS(tblLookupEntries[lookup_type],"request_transition",tblLookupEntries[key],IFERROR(MID(tblEventLog[[#This Row],[payload]],FIND("""from_status"": """,tblEventLog[[#This Row],[payload]])+16,FIND("""",tblEventLog[[#This Row],[payload]],FIND("""from_status"": """,tblEventLog[[#This Row],[payload]])+16)-FIND("""from_status"": """,tblEventLog[[#This Row],[payload]])-16),"")&amp;"&gt;"&amp;IFERROR(MID(tblEventLog[[#This Row],[payload]],FIND("""to_status"": """,tblEventLog[[#This Row],[payload]])+14,FIND("""",tblEventLog[[#This Row],[payload]],FIND("""to_status"": """,tblEventLog[[#This Row],[payload]])+14)-FIND("""to_status"": """,tblEventLog[[#This Row],[payload]])-14),""))&gt;0,"legal","illegal")))</f>
        <v/>
      </c>
    </row>
    <row r="41">
      <c r="A41" s="7" t="inlineStr">
        <is>
          <t>EVT-000037</t>
        </is>
      </c>
      <c r="B41" s="7" t="inlineStr">
        <is>
          <t>milestone.missed</t>
        </is>
      </c>
      <c r="C41" s="6" t="inlineStr">
        <is>
          <t>2026-10-03T09:00:00Z</t>
        </is>
      </c>
      <c r="D41" s="7" t="inlineStr">
        <is>
          <t>PER-000002</t>
        </is>
      </c>
      <c r="E41" s="7" t="inlineStr">
        <is>
          <t>human</t>
        </is>
      </c>
      <c r="F41" s="7" t="inlineStr">
        <is>
          <t>milestone</t>
        </is>
      </c>
      <c r="G41" s="7" t="inlineStr">
        <is>
          <t>MLS-000005</t>
        </is>
      </c>
      <c r="H41" s="6" t="inlineStr">
        <is>
          <t>{"project_id": "PRJ-000002", "due_date": "2026-10-02", "reason": "Integration credentials have not been provided."}</t>
        </is>
      </c>
      <c r="I41" s="7" t="inlineStr">
        <is>
          <t>implementation-operating-system</t>
        </is>
      </c>
      <c r="J41" s="6" t="inlineStr">
        <is>
          <t>1.0.0</t>
        </is>
      </c>
      <c r="K41" s="14">
        <f>IF(tblEventLog[[#This Row],[event_id]]="","",IF(COUNTIFS(tblLookupEntries[lookup_type],"event_type",tblLookupEntries[key],tblEventLog[[#This Row],[event_type]])=0,"not_registered_for_v0_1",IF(COUNTIFS(tblLookupEntries[lookup_type],"event_type",tblLookupEntries[key],tblEventLog[[#This Row],[event_type]],tblLookupEntries[display_value],tblEventLog[[#This Row],[subject_type]])=0,"subject_type_mismatch","registered")))</f>
        <v/>
      </c>
      <c r="L41" s="14">
        <f>IF(tblEventLog[[#This Row],[event_id]]="","",IF(tblEventLog[[#This Row],[source_repo]]="implementation-operating-system","catalog_producer","wrong_source_repo"))</f>
        <v/>
      </c>
      <c r="M41" s="14">
        <f>IF(tblEventLog[[#This Row],[event_id]]="","",IF(tblEventLog[[#This Row],[actor_type]]="human",IF(LEFT(tblEventLog[[#This Row],[actor_id]],4)="PER-","valid","human_actor_not_person"),IF(tblEventLog[[#This Row],[actor_type]]="system",IF(COUNTIFS(tblLookupEntries[lookup_type],"rule_id",tblLookupEntries[key],tblEventLog[[#This Row],[actor_id]])&gt;0,"valid","unknown_system_actor"),IF(tblEventLog[[#This Row],[actor_type]]="ai_agent","ai_actor_not_used_in_v0_1","invalid_actor_type"))))</f>
        <v/>
      </c>
      <c r="N41" s="14">
        <f>IF(tblEventLog[[#This Row],[event_id]]="","",IF(LEFT(tblEventLog[[#This Row],[subject_id]],3)="PRJ",IF(COUNTIF(tblProjects[project_id],tblEventLog[[#This Row],[subject_id]])&gt;0,"found","missing"),IF(LEFT(tblEventLog[[#This Row],[subject_id]],3)="PHS",IF(COUNTIF(tblPhases[phase_id],tblEventLog[[#This Row],[subject_id]])&gt;0,"found","missing"),IF(LEFT(tblEventLog[[#This Row],[subject_id]],3)="MLS",IF(COUNTIF(tblMilestones[milestone_id],tblEventLog[[#This Row],[subject_id]])&gt;0,"found","missing"),IF(LEFT(tblEventLog[[#This Row],[subject_id]],3)="TSK",IF(COUNTIF(tblTasks[task_id],tblEventLog[[#This Row],[subject_id]])&gt;0,"found","missing"),IF(LEFT(tblEventLog[[#This Row],[subject_id]],3)="REQ",IF(COUNTIF(tblRequests[request_id],tblEventLog[[#This Row],[subject_id]])&gt;0,"found","missing"),IF(LEFT(tblEventLog[[#This Row],[subject_id]],3)="RSK",IF(COUNTIF(tblRisks[risk_id],tblEventLog[[#This Row],[subject_id]])&gt;0,"found","missing"),IF(LEFT(tblEventLog[[#This Row],[subject_id]],3)="ISS",IF(COUNTIF(tblIssues[issue_id],tblEventLog[[#This Row],[subject_id]])&gt;0,"found","missing"),IF(LEFT(tblEventLog[[#This Row],[subject_id]],3)="RDS",IF(COUNTIF(tblReadinessSummary[readiness_scorecard_id],tblEventLog[[#This Row],[subject_id]])&gt;0,"found","missing"),IF(LEFT(tblEventLog[[#This Row],[subject_id]],3)="GAT",IF(COUNTIF(tblGateAssessments[gate_assessment_id],tblEventLog[[#This Row],[subject_id]])&gt;0,"found","event_only_record"),IF(LEFT(tblEventLog[[#This Row],[subject_id]],3)="HND",IF(COUNTIF(tblHandoffs[handoff_id],tblEventLog[[#This Row],[subject_id]])&gt;0,"found","event_only_record"),"unsupported_subject")))))))))))</f>
        <v/>
      </c>
      <c r="O41" s="14">
        <f>IF(tblEventLog[[#This Row],[event_id]]="","",IF(AND(LEFT(TRIM(tblEventLog[[#This Row],[payload]]),1)="{",RIGHT(TRIM(tblEventLog[[#This Row],[payload]]),1)="}"),"object_text","not_json_object"))</f>
        <v/>
      </c>
      <c r="P41" s="14">
        <f>IF(tblEventLog[[#This Row],[event_id]]="","",IF(tblEventLog[[#This Row],[event_type]]&lt;&gt;"request.status_changed","not_applicable",IF(COUNTIFS(tblLookupEntries[lookup_type],"request_transition",tblLookupEntries[key],IFERROR(MID(tblEventLog[[#This Row],[payload]],FIND("""from_status"": """,tblEventLog[[#This Row],[payload]])+16,FIND("""",tblEventLog[[#This Row],[payload]],FIND("""from_status"": """,tblEventLog[[#This Row],[payload]])+16)-FIND("""from_status"": """,tblEventLog[[#This Row],[payload]])-16),"")&amp;"&gt;"&amp;IFERROR(MID(tblEventLog[[#This Row],[payload]],FIND("""to_status"": """,tblEventLog[[#This Row],[payload]])+14,FIND("""",tblEventLog[[#This Row],[payload]],FIND("""to_status"": """,tblEventLog[[#This Row],[payload]])+14)-FIND("""to_status"": """,tblEventLog[[#This Row],[payload]])-14),""))&gt;0,"legal","illegal")))</f>
        <v/>
      </c>
    </row>
    <row r="42">
      <c r="A42" s="7" t="inlineStr">
        <is>
          <t>EVT-000038</t>
        </is>
      </c>
      <c r="B42" s="7" t="inlineStr">
        <is>
          <t>request.submitted</t>
        </is>
      </c>
      <c r="C42" s="6" t="inlineStr">
        <is>
          <t>2026-10-05T14:00:00Z</t>
        </is>
      </c>
      <c r="D42" s="7" t="inlineStr">
        <is>
          <t>PER-000003</t>
        </is>
      </c>
      <c r="E42" s="7" t="inlineStr">
        <is>
          <t>human</t>
        </is>
      </c>
      <c r="F42" s="7" t="inlineStr">
        <is>
          <t>request</t>
        </is>
      </c>
      <c r="G42" s="7" t="inlineStr">
        <is>
          <t>REQ-000008</t>
        </is>
      </c>
      <c r="H42" s="6" t="inlineStr">
        <is>
          <t>{"project_id": "PRJ-000003", "request_type": "information", "due_at": "2026-10-09T17:00:00Z"}</t>
        </is>
      </c>
      <c r="I42" s="7" t="inlineStr">
        <is>
          <t>implementation-operating-system</t>
        </is>
      </c>
      <c r="J42" s="6" t="inlineStr">
        <is>
          <t>1.0.0</t>
        </is>
      </c>
      <c r="K42" s="14">
        <f>IF(tblEventLog[[#This Row],[event_id]]="","",IF(COUNTIFS(tblLookupEntries[lookup_type],"event_type",tblLookupEntries[key],tblEventLog[[#This Row],[event_type]])=0,"not_registered_for_v0_1",IF(COUNTIFS(tblLookupEntries[lookup_type],"event_type",tblLookupEntries[key],tblEventLog[[#This Row],[event_type]],tblLookupEntries[display_value],tblEventLog[[#This Row],[subject_type]])=0,"subject_type_mismatch","registered")))</f>
        <v/>
      </c>
      <c r="L42" s="14">
        <f>IF(tblEventLog[[#This Row],[event_id]]="","",IF(tblEventLog[[#This Row],[source_repo]]="implementation-operating-system","catalog_producer","wrong_source_repo"))</f>
        <v/>
      </c>
      <c r="M42" s="14">
        <f>IF(tblEventLog[[#This Row],[event_id]]="","",IF(tblEventLog[[#This Row],[actor_type]]="human",IF(LEFT(tblEventLog[[#This Row],[actor_id]],4)="PER-","valid","human_actor_not_person"),IF(tblEventLog[[#This Row],[actor_type]]="system",IF(COUNTIFS(tblLookupEntries[lookup_type],"rule_id",tblLookupEntries[key],tblEventLog[[#This Row],[actor_id]])&gt;0,"valid","unknown_system_actor"),IF(tblEventLog[[#This Row],[actor_type]]="ai_agent","ai_actor_not_used_in_v0_1","invalid_actor_type"))))</f>
        <v/>
      </c>
      <c r="N42" s="14">
        <f>IF(tblEventLog[[#This Row],[event_id]]="","",IF(LEFT(tblEventLog[[#This Row],[subject_id]],3)="PRJ",IF(COUNTIF(tblProjects[project_id],tblEventLog[[#This Row],[subject_id]])&gt;0,"found","missing"),IF(LEFT(tblEventLog[[#This Row],[subject_id]],3)="PHS",IF(COUNTIF(tblPhases[phase_id],tblEventLog[[#This Row],[subject_id]])&gt;0,"found","missing"),IF(LEFT(tblEventLog[[#This Row],[subject_id]],3)="MLS",IF(COUNTIF(tblMilestones[milestone_id],tblEventLog[[#This Row],[subject_id]])&gt;0,"found","missing"),IF(LEFT(tblEventLog[[#This Row],[subject_id]],3)="TSK",IF(COUNTIF(tblTasks[task_id],tblEventLog[[#This Row],[subject_id]])&gt;0,"found","missing"),IF(LEFT(tblEventLog[[#This Row],[subject_id]],3)="REQ",IF(COUNTIF(tblRequests[request_id],tblEventLog[[#This Row],[subject_id]])&gt;0,"found","missing"),IF(LEFT(tblEventLog[[#This Row],[subject_id]],3)="RSK",IF(COUNTIF(tblRisks[risk_id],tblEventLog[[#This Row],[subject_id]])&gt;0,"found","missing"),IF(LEFT(tblEventLog[[#This Row],[subject_id]],3)="ISS",IF(COUNTIF(tblIssues[issue_id],tblEventLog[[#This Row],[subject_id]])&gt;0,"found","missing"),IF(LEFT(tblEventLog[[#This Row],[subject_id]],3)="RDS",IF(COUNTIF(tblReadinessSummary[readiness_scorecard_id],tblEventLog[[#This Row],[subject_id]])&gt;0,"found","missing"),IF(LEFT(tblEventLog[[#This Row],[subject_id]],3)="GAT",IF(COUNTIF(tblGateAssessments[gate_assessment_id],tblEventLog[[#This Row],[subject_id]])&gt;0,"found","event_only_record"),IF(LEFT(tblEventLog[[#This Row],[subject_id]],3)="HND",IF(COUNTIF(tblHandoffs[handoff_id],tblEventLog[[#This Row],[subject_id]])&gt;0,"found","event_only_record"),"unsupported_subject")))))))))))</f>
        <v/>
      </c>
      <c r="O42" s="14">
        <f>IF(tblEventLog[[#This Row],[event_id]]="","",IF(AND(LEFT(TRIM(tblEventLog[[#This Row],[payload]]),1)="{",RIGHT(TRIM(tblEventLog[[#This Row],[payload]]),1)="}"),"object_text","not_json_object"))</f>
        <v/>
      </c>
      <c r="P42" s="14">
        <f>IF(tblEventLog[[#This Row],[event_id]]="","",IF(tblEventLog[[#This Row],[event_type]]&lt;&gt;"request.status_changed","not_applicable",IF(COUNTIFS(tblLookupEntries[lookup_type],"request_transition",tblLookupEntries[key],IFERROR(MID(tblEventLog[[#This Row],[payload]],FIND("""from_status"": """,tblEventLog[[#This Row],[payload]])+16,FIND("""",tblEventLog[[#This Row],[payload]],FIND("""from_status"": """,tblEventLog[[#This Row],[payload]])+16)-FIND("""from_status"": """,tblEventLog[[#This Row],[payload]])-16),"")&amp;"&gt;"&amp;IFERROR(MID(tblEventLog[[#This Row],[payload]],FIND("""to_status"": """,tblEventLog[[#This Row],[payload]])+14,FIND("""",tblEventLog[[#This Row],[payload]],FIND("""to_status"": """,tblEventLog[[#This Row],[payload]])+14)-FIND("""to_status"": """,tblEventLog[[#This Row],[payload]])-14),""))&gt;0,"legal","illegal")))</f>
        <v/>
      </c>
    </row>
  </sheetData>
  <conditionalFormatting sqref="K5:K1005">
    <cfRule type="expression" priority="1" dxfId="0">
      <formula>AND($K5&lt;&gt;"",$K5&lt;&gt;"registered",$K5&lt;&gt;"no_predecessor",$K5&lt;&gt;"event_only_record")</formula>
    </cfRule>
  </conditionalFormatting>
  <conditionalFormatting sqref="M5:M1005">
    <cfRule type="expression" priority="2" dxfId="0">
      <formula>AND($M5&lt;&gt;"",$M5&lt;&gt;"valid",$M5&lt;&gt;"no_predecessor",$M5&lt;&gt;"event_only_record")</formula>
    </cfRule>
  </conditionalFormatting>
  <conditionalFormatting sqref="N5:N1005">
    <cfRule type="expression" priority="3" dxfId="0">
      <formula>AND($N5&lt;&gt;"",$N5&lt;&gt;"found",$N5&lt;&gt;"no_predecessor",$N5&lt;&gt;"event_only_record")</formula>
    </cfRule>
  </conditionalFormatting>
  <dataValidations count="2">
    <dataValidation sqref="B5:B1005" showDropDown="0" showInputMessage="0" showErrorMessage="1" allowBlank="1" errorTitle="Value not in R1 list" error="Choose a value from the R1 event_type list (Lookups tab)." type="list" errorStyle="stop">
      <formula1>=lst_event_type</formula1>
    </dataValidation>
    <dataValidation sqref="E5:E1005" showDropDown="0" showInputMessage="0" showErrorMessage="1" allowBlank="1" errorTitle="Value not in R1 list" error="Choose a value from the R1 actor_type list (Lookups tab)." type="list" errorStyle="stop">
      <formula1>=lst_actor_type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9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44" customWidth="1" min="2" max="2"/>
    <col width="10" customWidth="1" min="3" max="3"/>
    <col width="12" customWidth="1" min="4" max="4"/>
    <col width="26" customWidth="1" min="5" max="5"/>
    <col width="26" customWidth="1" min="6" max="6"/>
    <col width="9" customWidth="1" min="8" max="8"/>
    <col width="12" customWidth="1" min="9" max="9"/>
    <col width="10" customWidth="1" min="10" max="10"/>
    <col width="9" customWidth="1" min="12" max="12"/>
    <col width="18" customWidth="1" min="13" max="13"/>
    <col width="10" customWidth="1" min="14" max="14"/>
    <col width="9" customWidth="1" min="16" max="16"/>
    <col width="12" customWidth="1" min="17" max="17"/>
    <col width="10" customWidth="1" min="18" max="18"/>
    <col width="60" customWidth="1" min="19" max="19"/>
  </cols>
  <sheetData>
    <row r="1">
      <c r="A1" s="1" t="inlineStr">
        <is>
          <t>KPI Summary</t>
        </is>
      </c>
    </row>
    <row r="2">
      <c r="A2" s="9" t="inlineStr">
        <is>
          <t>Operational view traced to R1 records. Not a metric authority, not a forecast, and not a performance measure.</t>
        </is>
      </c>
    </row>
    <row r="3">
      <c r="A3" s="3" t="inlineStr">
        <is>
          <t>KPI summary (operational view; not a metric authority)</t>
        </is>
      </c>
      <c r="H3" s="3" t="inlineStr">
        <is>
          <t>Projects by current phase</t>
        </is>
      </c>
      <c r="L3" s="3" t="inlineStr">
        <is>
          <t>Requests by status</t>
        </is>
      </c>
      <c r="P3" s="3" t="inlineStr">
        <is>
          <t>Readiness by project</t>
        </is>
      </c>
    </row>
    <row r="4">
      <c r="A4" s="5" t="inlineStr">
        <is>
          <t>kpi_key</t>
        </is>
      </c>
      <c r="B4" s="5" t="inlineStr">
        <is>
          <t>label</t>
        </is>
      </c>
      <c r="C4" s="13" t="inlineStr">
        <is>
          <t>value</t>
        </is>
      </c>
      <c r="D4" s="5" t="inlineStr">
        <is>
          <t>grain</t>
        </is>
      </c>
      <c r="E4" s="5" t="inlineStr">
        <is>
          <t>source_table</t>
        </is>
      </c>
      <c r="F4" s="5" t="inlineStr">
        <is>
          <t>authority_classification</t>
        </is>
      </c>
      <c r="H4" s="5" t="inlineStr">
        <is>
          <t>position</t>
        </is>
      </c>
      <c r="I4" s="13" t="inlineStr">
        <is>
          <t>phase_key</t>
        </is>
      </c>
      <c r="J4" s="13" t="inlineStr">
        <is>
          <t>project_count</t>
        </is>
      </c>
      <c r="L4" s="5" t="inlineStr">
        <is>
          <t>position</t>
        </is>
      </c>
      <c r="M4" s="13" t="inlineStr">
        <is>
          <t>request_status</t>
        </is>
      </c>
      <c r="N4" s="13" t="inlineStr">
        <is>
          <t>request_count</t>
        </is>
      </c>
      <c r="P4" s="5" t="inlineStr">
        <is>
          <t>position</t>
        </is>
      </c>
      <c r="Q4" s="13" t="inlineStr">
        <is>
          <t>project_id</t>
        </is>
      </c>
      <c r="R4" s="13" t="inlineStr">
        <is>
          <t>readiness_score</t>
        </is>
      </c>
      <c r="S4" s="13" t="inlineStr">
        <is>
          <t>evidence_warning</t>
        </is>
      </c>
    </row>
    <row r="5">
      <c r="A5" s="7" t="inlineStr">
        <is>
          <t>project_count</t>
        </is>
      </c>
      <c r="B5" s="7" t="inlineStr">
        <is>
          <t>Projects</t>
        </is>
      </c>
      <c r="C5" s="14">
        <f>COUNTIF(tblProjects[project_id],"?*")</f>
        <v/>
      </c>
      <c r="D5" s="7" t="inlineStr">
        <is>
          <t>workbook</t>
        </is>
      </c>
      <c r="E5" s="7" t="inlineStr">
        <is>
          <t>tblProjects</t>
        </is>
      </c>
      <c r="F5" s="7" t="inlineStr">
        <is>
          <t>summarizes_r1_records</t>
        </is>
      </c>
      <c r="H5" s="7" t="n">
        <v>1</v>
      </c>
      <c r="I5" s="14">
        <f>IFERROR(INDEX(lst_phase_key,tblPhaseSummary[[#This Row],[position]]),"")</f>
        <v/>
      </c>
      <c r="J5" s="14">
        <f>COUNTIF(tblProjects[current_phase_key],tblPhaseSummary[[#This Row],[phase_key]])</f>
        <v/>
      </c>
      <c r="L5" s="7" t="n">
        <v>1</v>
      </c>
      <c r="M5" s="14">
        <f>IFERROR(INDEX(lst_request_status,tblRequestStatusSummary[[#This Row],[position]]),"")</f>
        <v/>
      </c>
      <c r="N5" s="14">
        <f>COUNTIF(tblRequests[status],tblRequestStatusSummary[[#This Row],[request_status]])</f>
        <v/>
      </c>
      <c r="P5" s="7" t="n">
        <v>1</v>
      </c>
      <c r="Q5" s="14">
        <f>IFERROR(INDEX(tblProjects[project_id],tblReadinessByProject[[#This Row],[position]])&amp;"","")</f>
        <v/>
      </c>
      <c r="R5" s="14">
        <f>IF(tblReadinessByProject[[#This Row],[project_id]]="","",IFERROR(INDEX(tblReadinessSummary[overall_score],MATCH(tblReadinessByProject[[#This Row],[project_id]],tblReadinessSummary[project_id],0)),"no_assessment"))</f>
        <v/>
      </c>
      <c r="S5" s="14">
        <f>IF(tblReadinessByProject[[#This Row],[project_id]]="","",IFERROR(INDEX(tblReadinessSummary[evidence_warning],MATCH(tblReadinessByProject[[#This Row],[project_id]],tblReadinessSummary[project_id],0)),"no_assessment"))</f>
        <v/>
      </c>
    </row>
    <row r="6">
      <c r="A6" s="7" t="inlineStr">
        <is>
          <t>active_project_count</t>
        </is>
      </c>
      <c r="B6" s="7" t="inlineStr">
        <is>
          <t>Active projects</t>
        </is>
      </c>
      <c r="C6" s="14">
        <f>COUNTIF(tblProjects[project_status],"active")</f>
        <v/>
      </c>
      <c r="D6" s="7" t="inlineStr">
        <is>
          <t>workbook</t>
        </is>
      </c>
      <c r="E6" s="7" t="inlineStr">
        <is>
          <t>tblProjects</t>
        </is>
      </c>
      <c r="F6" s="7" t="inlineStr">
        <is>
          <t>summarizes_r1_records</t>
        </is>
      </c>
      <c r="H6" s="7" t="n">
        <v>2</v>
      </c>
      <c r="I6" s="14">
        <f>IFERROR(INDEX(lst_phase_key,tblPhaseSummary[[#This Row],[position]]),"")</f>
        <v/>
      </c>
      <c r="J6" s="14">
        <f>COUNTIF(tblProjects[current_phase_key],tblPhaseSummary[[#This Row],[phase_key]])</f>
        <v/>
      </c>
      <c r="L6" s="7" t="n">
        <v>2</v>
      </c>
      <c r="M6" s="14">
        <f>IFERROR(INDEX(lst_request_status,tblRequestStatusSummary[[#This Row],[position]]),"")</f>
        <v/>
      </c>
      <c r="N6" s="14">
        <f>COUNTIF(tblRequests[status],tblRequestStatusSummary[[#This Row],[request_status]])</f>
        <v/>
      </c>
      <c r="P6" s="7" t="n">
        <v>2</v>
      </c>
      <c r="Q6" s="14">
        <f>IFERROR(INDEX(tblProjects[project_id],tblReadinessByProject[[#This Row],[position]])&amp;"","")</f>
        <v/>
      </c>
      <c r="R6" s="14">
        <f>IF(tblReadinessByProject[[#This Row],[project_id]]="","",IFERROR(INDEX(tblReadinessSummary[overall_score],MATCH(tblReadinessByProject[[#This Row],[project_id]],tblReadinessSummary[project_id],0)),"no_assessment"))</f>
        <v/>
      </c>
      <c r="S6" s="14">
        <f>IF(tblReadinessByProject[[#This Row],[project_id]]="","",IFERROR(INDEX(tblReadinessSummary[evidence_warning],MATCH(tblReadinessByProject[[#This Row],[project_id]],tblReadinessSummary[project_id],0)),"no_assessment"))</f>
        <v/>
      </c>
    </row>
    <row r="7">
      <c r="A7" s="7" t="inlineStr">
        <is>
          <t>open_task_count</t>
        </is>
      </c>
      <c r="B7" s="7" t="inlineStr">
        <is>
          <t>Open tasks (not completed or cancelled)</t>
        </is>
      </c>
      <c r="C7" s="14">
        <f>COUNTIFS(tblTasks[task_id],"?*",tblTasks[status],"&lt;&gt;completed",tblTasks[status],"&lt;&gt;cancelled")</f>
        <v/>
      </c>
      <c r="D7" s="7" t="inlineStr">
        <is>
          <t>workbook</t>
        </is>
      </c>
      <c r="E7" s="7" t="inlineStr">
        <is>
          <t>tblTasks</t>
        </is>
      </c>
      <c r="F7" s="7" t="inlineStr">
        <is>
          <t>summarizes_r1_records</t>
        </is>
      </c>
      <c r="H7" s="7" t="n">
        <v>3</v>
      </c>
      <c r="I7" s="14">
        <f>IFERROR(INDEX(lst_phase_key,tblPhaseSummary[[#This Row],[position]]),"")</f>
        <v/>
      </c>
      <c r="J7" s="14">
        <f>COUNTIF(tblProjects[current_phase_key],tblPhaseSummary[[#This Row],[phase_key]])</f>
        <v/>
      </c>
      <c r="L7" s="7" t="n">
        <v>3</v>
      </c>
      <c r="M7" s="14">
        <f>IFERROR(INDEX(lst_request_status,tblRequestStatusSummary[[#This Row],[position]]),"")</f>
        <v/>
      </c>
      <c r="N7" s="14">
        <f>COUNTIF(tblRequests[status],tblRequestStatusSummary[[#This Row],[request_status]])</f>
        <v/>
      </c>
      <c r="P7" s="7" t="n">
        <v>3</v>
      </c>
      <c r="Q7" s="14">
        <f>IFERROR(INDEX(tblProjects[project_id],tblReadinessByProject[[#This Row],[position]])&amp;"","")</f>
        <v/>
      </c>
      <c r="R7" s="14">
        <f>IF(tblReadinessByProject[[#This Row],[project_id]]="","",IFERROR(INDEX(tblReadinessSummary[overall_score],MATCH(tblReadinessByProject[[#This Row],[project_id]],tblReadinessSummary[project_id],0)),"no_assessment"))</f>
        <v/>
      </c>
      <c r="S7" s="14">
        <f>IF(tblReadinessByProject[[#This Row],[project_id]]="","",IFERROR(INDEX(tblReadinessSummary[evidence_warning],MATCH(tblReadinessByProject[[#This Row],[project_id]],tblReadinessSummary[project_id],0)),"no_assessment"))</f>
        <v/>
      </c>
    </row>
    <row r="8">
      <c r="A8" s="7" t="inlineStr">
        <is>
          <t>blocked_task_count</t>
        </is>
      </c>
      <c r="B8" s="7" t="inlineStr">
        <is>
          <t>Blocked tasks</t>
        </is>
      </c>
      <c r="C8" s="14">
        <f>COUNTIF(tblTasks[status],"blocked")</f>
        <v/>
      </c>
      <c r="D8" s="7" t="inlineStr">
        <is>
          <t>workbook</t>
        </is>
      </c>
      <c r="E8" s="7" t="inlineStr">
        <is>
          <t>tblTasks</t>
        </is>
      </c>
      <c r="F8" s="7" t="inlineStr">
        <is>
          <t>summarizes_r1_records</t>
        </is>
      </c>
      <c r="H8" s="7" t="n">
        <v>4</v>
      </c>
      <c r="I8" s="14">
        <f>IFERROR(INDEX(lst_phase_key,tblPhaseSummary[[#This Row],[position]]),"")</f>
        <v/>
      </c>
      <c r="J8" s="14">
        <f>COUNTIF(tblProjects[current_phase_key],tblPhaseSummary[[#This Row],[phase_key]])</f>
        <v/>
      </c>
      <c r="L8" s="7" t="n">
        <v>4</v>
      </c>
      <c r="M8" s="14">
        <f>IFERROR(INDEX(lst_request_status,tblRequestStatusSummary[[#This Row],[position]]),"")</f>
        <v/>
      </c>
      <c r="N8" s="14">
        <f>COUNTIF(tblRequests[status],tblRequestStatusSummary[[#This Row],[request_status]])</f>
        <v/>
      </c>
      <c r="P8" s="7" t="n">
        <v>4</v>
      </c>
      <c r="Q8" s="14">
        <f>IFERROR(INDEX(tblProjects[project_id],tblReadinessByProject[[#This Row],[position]])&amp;"","")</f>
        <v/>
      </c>
      <c r="R8" s="14">
        <f>IF(tblReadinessByProject[[#This Row],[project_id]]="","",IFERROR(INDEX(tblReadinessSummary[overall_score],MATCH(tblReadinessByProject[[#This Row],[project_id]],tblReadinessSummary[project_id],0)),"no_assessment"))</f>
        <v/>
      </c>
      <c r="S8" s="14">
        <f>IF(tblReadinessByProject[[#This Row],[project_id]]="","",IFERROR(INDEX(tblReadinessSummary[evidence_warning],MATCH(tblReadinessByProject[[#This Row],[project_id]],tblReadinessSummary[project_id],0)),"no_assessment"))</f>
        <v/>
      </c>
    </row>
    <row r="9">
      <c r="A9" s="7" t="inlineStr">
        <is>
          <t>overdue_task_count</t>
        </is>
      </c>
      <c r="B9" s="7" t="inlineStr">
        <is>
          <t>Overdue tasks as of calculation_as_of_at</t>
        </is>
      </c>
      <c r="C9" s="14">
        <f>COUNTIF(tblTasks[due_state],"overdue")</f>
        <v/>
      </c>
      <c r="D9" s="7" t="inlineStr">
        <is>
          <t>workbook</t>
        </is>
      </c>
      <c r="E9" s="7" t="inlineStr">
        <is>
          <t>tblTasks</t>
        </is>
      </c>
      <c r="F9" s="7" t="inlineStr">
        <is>
          <t>r3_workbook_validation</t>
        </is>
      </c>
      <c r="H9" s="7" t="n">
        <v>5</v>
      </c>
      <c r="I9" s="14">
        <f>IFERROR(INDEX(lst_phase_key,tblPhaseSummary[[#This Row],[position]]),"")</f>
        <v/>
      </c>
      <c r="J9" s="14">
        <f>COUNTIF(tblProjects[current_phase_key],tblPhaseSummary[[#This Row],[phase_key]])</f>
        <v/>
      </c>
      <c r="L9" s="7" t="n">
        <v>5</v>
      </c>
      <c r="M9" s="14">
        <f>IFERROR(INDEX(lst_request_status,tblRequestStatusSummary[[#This Row],[position]]),"")</f>
        <v/>
      </c>
      <c r="N9" s="14">
        <f>COUNTIF(tblRequests[status],tblRequestStatusSummary[[#This Row],[request_status]])</f>
        <v/>
      </c>
      <c r="P9" s="7" t="n">
        <v>5</v>
      </c>
      <c r="Q9" s="14">
        <f>IFERROR(INDEX(tblProjects[project_id],tblReadinessByProject[[#This Row],[position]])&amp;"","")</f>
        <v/>
      </c>
      <c r="R9" s="14">
        <f>IF(tblReadinessByProject[[#This Row],[project_id]]="","",IFERROR(INDEX(tblReadinessSummary[overall_score],MATCH(tblReadinessByProject[[#This Row],[project_id]],tblReadinessSummary[project_id],0)),"no_assessment"))</f>
        <v/>
      </c>
      <c r="S9" s="14">
        <f>IF(tblReadinessByProject[[#This Row],[project_id]]="","",IFERROR(INDEX(tblReadinessSummary[evidence_warning],MATCH(tblReadinessByProject[[#This Row],[project_id]],tblReadinessSummary[project_id],0)),"no_assessment"))</f>
        <v/>
      </c>
    </row>
    <row r="10">
      <c r="A10" s="7" t="inlineStr">
        <is>
          <t>open_risk_count</t>
        </is>
      </c>
      <c r="B10" s="7" t="inlineStr">
        <is>
          <t>Open risks (open or mitigating)</t>
        </is>
      </c>
      <c r="C10" s="14">
        <f>COUNTIF(tblRisks[status],"open")+COUNTIF(tblRisks[status],"mitigating")</f>
        <v/>
      </c>
      <c r="D10" s="7" t="inlineStr">
        <is>
          <t>workbook</t>
        </is>
      </c>
      <c r="E10" s="7" t="inlineStr">
        <is>
          <t>tblRisks</t>
        </is>
      </c>
      <c r="F10" s="7" t="inlineStr">
        <is>
          <t>summarizes_r1_records</t>
        </is>
      </c>
      <c r="H10" s="7" t="n">
        <v>6</v>
      </c>
      <c r="I10" s="14">
        <f>IFERROR(INDEX(lst_phase_key,tblPhaseSummary[[#This Row],[position]]),"")</f>
        <v/>
      </c>
      <c r="J10" s="14">
        <f>COUNTIF(tblProjects[current_phase_key],tblPhaseSummary[[#This Row],[phase_key]])</f>
        <v/>
      </c>
      <c r="L10" s="7" t="n">
        <v>6</v>
      </c>
      <c r="M10" s="14">
        <f>IFERROR(INDEX(lst_request_status,tblRequestStatusSummary[[#This Row],[position]]),"")</f>
        <v/>
      </c>
      <c r="N10" s="14">
        <f>COUNTIF(tblRequests[status],tblRequestStatusSummary[[#This Row],[request_status]])</f>
        <v/>
      </c>
      <c r="P10" s="7" t="n">
        <v>6</v>
      </c>
      <c r="Q10" s="14">
        <f>IFERROR(INDEX(tblProjects[project_id],tblReadinessByProject[[#This Row],[position]])&amp;"","")</f>
        <v/>
      </c>
      <c r="R10" s="14">
        <f>IF(tblReadinessByProject[[#This Row],[project_id]]="","",IFERROR(INDEX(tblReadinessSummary[overall_score],MATCH(tblReadinessByProject[[#This Row],[project_id]],tblReadinessSummary[project_id],0)),"no_assessment"))</f>
        <v/>
      </c>
      <c r="S10" s="14">
        <f>IF(tblReadinessByProject[[#This Row],[project_id]]="","",IFERROR(INDEX(tblReadinessSummary[evidence_warning],MATCH(tblReadinessByProject[[#This Row],[project_id]],tblReadinessSummary[project_id],0)),"no_assessment"))</f>
        <v/>
      </c>
    </row>
    <row r="11">
      <c r="A11" s="7" t="inlineStr">
        <is>
          <t>open_issue_count</t>
        </is>
      </c>
      <c r="B11" s="7" t="inlineStr">
        <is>
          <t>Open issues (open or in progress)</t>
        </is>
      </c>
      <c r="C11" s="14">
        <f>COUNTIF(tblIssues[status],"open")+COUNTIF(tblIssues[status],"in_progress")</f>
        <v/>
      </c>
      <c r="D11" s="7" t="inlineStr">
        <is>
          <t>workbook</t>
        </is>
      </c>
      <c r="E11" s="7" t="inlineStr">
        <is>
          <t>tblIssues</t>
        </is>
      </c>
      <c r="F11" s="7" t="inlineStr">
        <is>
          <t>summarizes_r1_records</t>
        </is>
      </c>
      <c r="H11" s="7" t="n">
        <v>7</v>
      </c>
      <c r="I11" s="14">
        <f>IFERROR(INDEX(lst_phase_key,tblPhaseSummary[[#This Row],[position]]),"")</f>
        <v/>
      </c>
      <c r="J11" s="14">
        <f>COUNTIF(tblProjects[current_phase_key],tblPhaseSummary[[#This Row],[phase_key]])</f>
        <v/>
      </c>
      <c r="L11" s="7" t="n">
        <v>7</v>
      </c>
      <c r="M11" s="14">
        <f>IFERROR(INDEX(lst_request_status,tblRequestStatusSummary[[#This Row],[position]]),"")</f>
        <v/>
      </c>
      <c r="N11" s="14">
        <f>COUNTIF(tblRequests[status],tblRequestStatusSummary[[#This Row],[request_status]])</f>
        <v/>
      </c>
      <c r="P11" s="7" t="n">
        <v>7</v>
      </c>
      <c r="Q11" s="14">
        <f>IFERROR(INDEX(tblProjects[project_id],tblReadinessByProject[[#This Row],[position]])&amp;"","")</f>
        <v/>
      </c>
      <c r="R11" s="14">
        <f>IF(tblReadinessByProject[[#This Row],[project_id]]="","",IFERROR(INDEX(tblReadinessSummary[overall_score],MATCH(tblReadinessByProject[[#This Row],[project_id]],tblReadinessSummary[project_id],0)),"no_assessment"))</f>
        <v/>
      </c>
      <c r="S11" s="14">
        <f>IF(tblReadinessByProject[[#This Row],[project_id]]="","",IFERROR(INDEX(tblReadinessSummary[evidence_warning],MATCH(tblReadinessByProject[[#This Row],[project_id]],tblReadinessSummary[project_id],0)),"no_assessment"))</f>
        <v/>
      </c>
    </row>
    <row r="12">
      <c r="A12" s="7" t="inlineStr">
        <is>
          <t>request_count</t>
        </is>
      </c>
      <c r="B12" s="7" t="inlineStr">
        <is>
          <t>Requests</t>
        </is>
      </c>
      <c r="C12" s="14">
        <f>COUNTIF(tblRequests[request_id],"?*")</f>
        <v/>
      </c>
      <c r="D12" s="7" t="inlineStr">
        <is>
          <t>workbook</t>
        </is>
      </c>
      <c r="E12" s="7" t="inlineStr">
        <is>
          <t>tblRequests</t>
        </is>
      </c>
      <c r="F12" s="7" t="inlineStr">
        <is>
          <t>summarizes_r1_records</t>
        </is>
      </c>
      <c r="H12" s="7" t="n">
        <v>8</v>
      </c>
      <c r="I12" s="14">
        <f>IFERROR(INDEX(lst_phase_key,tblPhaseSummary[[#This Row],[position]]),"")</f>
        <v/>
      </c>
      <c r="J12" s="14">
        <f>COUNTIF(tblProjects[current_phase_key],tblPhaseSummary[[#This Row],[phase_key]])</f>
        <v/>
      </c>
      <c r="L12" s="7" t="n">
        <v>8</v>
      </c>
      <c r="M12" s="14">
        <f>IFERROR(INDEX(lst_request_status,tblRequestStatusSummary[[#This Row],[position]]),"")</f>
        <v/>
      </c>
      <c r="N12" s="14">
        <f>COUNTIF(tblRequests[status],tblRequestStatusSummary[[#This Row],[request_status]])</f>
        <v/>
      </c>
      <c r="P12" s="7" t="n">
        <v>8</v>
      </c>
      <c r="Q12" s="14">
        <f>IFERROR(INDEX(tblProjects[project_id],tblReadinessByProject[[#This Row],[position]])&amp;"","")</f>
        <v/>
      </c>
      <c r="R12" s="14">
        <f>IF(tblReadinessByProject[[#This Row],[project_id]]="","",IFERROR(INDEX(tblReadinessSummary[overall_score],MATCH(tblReadinessByProject[[#This Row],[project_id]],tblReadinessSummary[project_id],0)),"no_assessment"))</f>
        <v/>
      </c>
      <c r="S12" s="14">
        <f>IF(tblReadinessByProject[[#This Row],[project_id]]="","",IFERROR(INDEX(tblReadinessSummary[evidence_warning],MATCH(tblReadinessByProject[[#This Row],[project_id]],tblReadinessSummary[project_id],0)),"no_assessment"))</f>
        <v/>
      </c>
    </row>
    <row r="13">
      <c r="A13" s="7" t="inlineStr">
        <is>
          <t>escalation_due_request_count</t>
        </is>
      </c>
      <c r="B13" s="7" t="inlineStr">
        <is>
          <t>Requests whose escalation time has passed</t>
        </is>
      </c>
      <c r="C13" s="14">
        <f>COUNTIF(tblRequests[escalation_due_state],"escalation_due")</f>
        <v/>
      </c>
      <c r="D13" s="7" t="inlineStr">
        <is>
          <t>workbook</t>
        </is>
      </c>
      <c r="E13" s="7" t="inlineStr">
        <is>
          <t>tblRequests</t>
        </is>
      </c>
      <c r="F13" s="7" t="inlineStr">
        <is>
          <t>r3_workbook_validation</t>
        </is>
      </c>
      <c r="H13" s="7" t="n">
        <v>9</v>
      </c>
      <c r="I13" s="14">
        <f>IFERROR(INDEX(lst_phase_key,tblPhaseSummary[[#This Row],[position]]),"")</f>
        <v/>
      </c>
      <c r="J13" s="14">
        <f>COUNTIF(tblProjects[current_phase_key],tblPhaseSummary[[#This Row],[phase_key]])</f>
        <v/>
      </c>
      <c r="L13" s="7" t="n">
        <v>9</v>
      </c>
      <c r="M13" s="14">
        <f>IFERROR(INDEX(lst_request_status,tblRequestStatusSummary[[#This Row],[position]]),"")</f>
        <v/>
      </c>
      <c r="N13" s="14">
        <f>COUNTIF(tblRequests[status],tblRequestStatusSummary[[#This Row],[request_status]])</f>
        <v/>
      </c>
      <c r="P13" s="7" t="n">
        <v>9</v>
      </c>
      <c r="Q13" s="14">
        <f>IFERROR(INDEX(tblProjects[project_id],tblReadinessByProject[[#This Row],[position]])&amp;"","")</f>
        <v/>
      </c>
      <c r="R13" s="14">
        <f>IF(tblReadinessByProject[[#This Row],[project_id]]="","",IFERROR(INDEX(tblReadinessSummary[overall_score],MATCH(tblReadinessByProject[[#This Row],[project_id]],tblReadinessSummary[project_id],0)),"no_assessment"))</f>
        <v/>
      </c>
      <c r="S13" s="14">
        <f>IF(tblReadinessByProject[[#This Row],[project_id]]="","",IFERROR(INDEX(tblReadinessSummary[evidence_warning],MATCH(tblReadinessByProject[[#This Row],[project_id]],tblReadinessSummary[project_id],0)),"no_assessment"))</f>
        <v/>
      </c>
    </row>
    <row r="14">
      <c r="A14" s="7" t="inlineStr">
        <is>
          <t>readiness_scorecard_count</t>
        </is>
      </c>
      <c r="B14" s="7" t="inlineStr">
        <is>
          <t>Readiness scorecards</t>
        </is>
      </c>
      <c r="C14" s="14">
        <f>COUNTIF(tblReadinessSummary[readiness_scorecard_id],"?*")</f>
        <v/>
      </c>
      <c r="D14" s="7" t="inlineStr">
        <is>
          <t>workbook</t>
        </is>
      </c>
      <c r="E14" s="7" t="inlineStr">
        <is>
          <t>tblReadinessSummary</t>
        </is>
      </c>
      <c r="F14" s="7" t="inlineStr">
        <is>
          <t>summarizes_r1_records</t>
        </is>
      </c>
      <c r="H14" s="7" t="n">
        <v>10</v>
      </c>
      <c r="I14" s="14">
        <f>IFERROR(INDEX(lst_phase_key,tblPhaseSummary[[#This Row],[position]]),"")</f>
        <v/>
      </c>
      <c r="J14" s="14">
        <f>COUNTIF(tblProjects[current_phase_key],tblPhaseSummary[[#This Row],[phase_key]])</f>
        <v/>
      </c>
      <c r="P14" s="7" t="n">
        <v>10</v>
      </c>
      <c r="Q14" s="14">
        <f>IFERROR(INDEX(tblProjects[project_id],tblReadinessByProject[[#This Row],[position]])&amp;"","")</f>
        <v/>
      </c>
      <c r="R14" s="14">
        <f>IF(tblReadinessByProject[[#This Row],[project_id]]="","",IFERROR(INDEX(tblReadinessSummary[overall_score],MATCH(tblReadinessByProject[[#This Row],[project_id]],tblReadinessSummary[project_id],0)),"no_assessment"))</f>
        <v/>
      </c>
      <c r="S14" s="14">
        <f>IF(tblReadinessByProject[[#This Row],[project_id]]="","",IFERROR(INDEX(tblReadinessSummary[evidence_warning],MATCH(tblReadinessByProject[[#This Row],[project_id]],tblReadinessSummary[project_id],0)),"no_assessment"))</f>
        <v/>
      </c>
    </row>
    <row r="15">
      <c r="A15" s="7" t="inlineStr">
        <is>
          <t>incomplete_readiness_evidence_count</t>
        </is>
      </c>
      <c r="B15" s="7" t="inlineStr">
        <is>
          <t>Scorecards with incomplete required evidence</t>
        </is>
      </c>
      <c r="C15" s="14">
        <f>COUNTIF(tblReadinessSummary[incomplete_required_evidence_flag],TRUE)</f>
        <v/>
      </c>
      <c r="D15" s="7" t="inlineStr">
        <is>
          <t>workbook</t>
        </is>
      </c>
      <c r="E15" s="7" t="inlineStr">
        <is>
          <t>tblReadinessSummary</t>
        </is>
      </c>
      <c r="F15" s="7" t="inlineStr">
        <is>
          <t>summarizes_r1_records</t>
        </is>
      </c>
    </row>
    <row r="16">
      <c r="A16" s="7" t="inlineStr">
        <is>
          <t>event_log_row_count</t>
        </is>
      </c>
      <c r="B16" s="7" t="inlineStr">
        <is>
          <t>Event Log rows</t>
        </is>
      </c>
      <c r="C16" s="14">
        <f>COUNTIF(tblEventLog[event_id],"?*")</f>
        <v/>
      </c>
      <c r="D16" s="7" t="inlineStr">
        <is>
          <t>workbook</t>
        </is>
      </c>
      <c r="E16" s="7" t="inlineStr">
        <is>
          <t>tblEventLog</t>
        </is>
      </c>
      <c r="F16" s="7" t="inlineStr">
        <is>
          <t>summarizes_r1_records</t>
        </is>
      </c>
    </row>
    <row r="17">
      <c r="A17" s="7" t="inlineStr">
        <is>
          <t>event_log_problem_count</t>
        </is>
      </c>
      <c r="B17" s="7" t="inlineStr">
        <is>
          <t>Event Log rows failing a check</t>
        </is>
      </c>
      <c r="C17" s="14">
        <f>COUNTIFS(tblEventLog[event_id],"?*",tblEventLog[event_type_check],"&lt;&gt;registered")+COUNTIFS(tblEventLog[event_id],"?*",tblEventLog[actor_check],"&lt;&gt;valid")+COUNTIF(tblEventLog[subject_check],"missing")+COUNTIF(tblEventLog[source_repo_check],"wrong_source_repo")+COUNTIF(tblEventLog[request_transition_check],"illegal")</f>
        <v/>
      </c>
      <c r="D17" s="7" t="inlineStr">
        <is>
          <t>workbook</t>
        </is>
      </c>
      <c r="E17" s="7" t="inlineStr">
        <is>
          <t>tblEventLog</t>
        </is>
      </c>
      <c r="F17" s="7" t="inlineStr">
        <is>
          <t>r3_workbook_validation</t>
        </is>
      </c>
    </row>
    <row r="18">
      <c r="A18" s="7" t="inlineStr">
        <is>
          <t>missing_event_evidence_count</t>
        </is>
      </c>
      <c r="B18" s="7" t="inlineStr">
        <is>
          <t>Material changes inside the window with no Event Log row</t>
        </is>
      </c>
      <c r="C18" s="14">
        <f>COUNTIF(tblProjects[event_evidence],"missing*")+COUNTIF(tblPhases[event_evidence],"missing*")+COUNTIF(tblMilestones[event_evidence],"missing*")+COUNTIF(tblGateAssessments[event_evidence],"missing*")+COUNTIF(tblTasks[event_evidence],"missing*")+COUNTIF(tblRequests[event_evidence],"missing*")+COUNTIF(tblHandoffs[event_evidence],"missing*")+COUNTIF(tblRisks[event_evidence],"missing*")+COUNTIF(tblIssues[event_evidence],"missing*")+COUNTIF(tblReadinessSummary[event_evidence],"missing*")</f>
        <v/>
      </c>
      <c r="D18" s="7" t="inlineStr">
        <is>
          <t>workbook</t>
        </is>
      </c>
      <c r="E18" s="7" t="inlineStr">
        <is>
          <t>all record tables</t>
        </is>
      </c>
      <c r="F18" s="7" t="inlineStr">
        <is>
          <t>r3_workbook_validation</t>
        </is>
      </c>
    </row>
    <row r="19">
      <c r="A19" s="7" t="inlineStr">
        <is>
          <t>reference_problem_count</t>
        </is>
      </c>
      <c r="B19" s="7" t="inlineStr">
        <is>
          <t>Records with an unresolved reference</t>
        </is>
      </c>
      <c r="C19" s="14">
        <f>COUNTIFS(tblProjects[project_id],"?*",tblProjects[reference_check],"&lt;&gt;valid")+COUNTIFS(tblPhases[phase_id],"?*",tblPhases[reference_check],"&lt;&gt;valid")+COUNTIFS(tblMilestones[milestone_id],"?*",tblMilestones[reference_check],"&lt;&gt;valid")+COUNTIFS(tblGateAssessments[gate_assessment_id],"?*",tblGateAssessments[reference_check],"&lt;&gt;valid")+COUNTIFS(tblTasks[task_id],"?*",tblTasks[reference_check],"&lt;&gt;valid")+COUNTIFS(tblRequests[request_id],"?*",tblRequests[reference_check],"&lt;&gt;valid")+COUNTIFS(tblHandoffs[handoff_id],"?*",tblHandoffs[reference_check],"&lt;&gt;valid")+COUNTIFS(tblRisks[risk_id],"?*",tblRisks[reference_check],"&lt;&gt;valid")+COUNTIFS(tblIssues[issue_id],"?*",tblIssues[reference_check],"&lt;&gt;valid")</f>
        <v/>
      </c>
      <c r="D19" s="7" t="inlineStr">
        <is>
          <t>workbook</t>
        </is>
      </c>
      <c r="E19" s="7" t="inlineStr">
        <is>
          <t>all record tables</t>
        </is>
      </c>
      <c r="F19" s="7" t="inlineStr">
        <is>
          <t>r3_workbook_validation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conditionalFormatting sqref="S5:S1005">
    <cfRule type="expression" priority="1" dxfId="1">
      <formula>LEFT($S5,28)="Required evidence incomplete"</formula>
    </cfRule>
  </conditionalFormatting>
  <pageMargins left="0.75" right="0.75" top="1" bottom="1" header="0.5" footer="0.5"/>
  <drawing xmlns:r="http://schemas.openxmlformats.org/officeDocument/2006/relationships" r:id="rId1"/>
  <tableParts count="4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Jared Muldrow</dc:creator>
  <dc:title>Implementation Tracker Workbook</dc:title>
  <dc:subject>Macro-free reference implementation of the R1 implementation operating model</dc:subject>
  <dcterms:created xsi:type="dcterms:W3CDTF">2026-10-06T23:21:51Z</dcterms:created>
  <dcterms:modified xsi:type="dcterms:W3CDTF">2026-10-06T23:21:51Z</dcterms:modified>
  <cp:lastModifiedBy>Jared Muldrow</cp:lastModifiedBy>
  <cp:keywords>implementation; tracker; synthetic data; illustrative example</cp:keywords>
</cp:coreProperties>
</file>